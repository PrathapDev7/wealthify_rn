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" sheetId="1" r:id="rId5"/>
    <sheet state="visible" name="Phone Recharges" sheetId="2" r:id="rId6"/>
    <sheet state="visible" name="Groceries &amp; Vegtables" sheetId="3" r:id="rId7"/>
    <sheet state="visible" name="Snacks &amp; enterinment" sheetId="4" r:id="rId8"/>
    <sheet state="visible" name="Personal care" sheetId="5" r:id="rId9"/>
    <sheet state="visible" name="Medical" sheetId="6" r:id="rId10"/>
    <sheet state="visible" name="Travel" sheetId="7" r:id="rId11"/>
    <sheet state="visible" name="Education" sheetId="8" r:id="rId12"/>
    <sheet state="visible" name="tour" sheetId="9" r:id="rId13"/>
    <sheet state="visible" name="Credit_Card_Pay" sheetId="10" r:id="rId14"/>
  </sheets>
  <definedNames/>
  <calcPr/>
</workbook>
</file>

<file path=xl/sharedStrings.xml><?xml version="1.0" encoding="utf-8"?>
<sst xmlns="http://schemas.openxmlformats.org/spreadsheetml/2006/main" count="278" uniqueCount="134">
  <si>
    <t>Monthly of June26 Balance sheet</t>
  </si>
  <si>
    <t>Income</t>
  </si>
  <si>
    <t>Expenses</t>
  </si>
  <si>
    <t>Savings</t>
  </si>
  <si>
    <t>Interest</t>
  </si>
  <si>
    <t>ITC</t>
  </si>
  <si>
    <t>Name</t>
  </si>
  <si>
    <t>Amount</t>
  </si>
  <si>
    <t>S.no</t>
  </si>
  <si>
    <t>Description</t>
  </si>
  <si>
    <t xml:space="preserve"> Amount</t>
  </si>
  <si>
    <t>Debt</t>
  </si>
  <si>
    <t>Husband</t>
  </si>
  <si>
    <t>House Rent</t>
  </si>
  <si>
    <t>Grow</t>
  </si>
  <si>
    <t>Divident</t>
  </si>
  <si>
    <t>Wife</t>
  </si>
  <si>
    <t>Personal care</t>
  </si>
  <si>
    <t>Mutual Fund (Nandha)paytm</t>
  </si>
  <si>
    <t>Total</t>
  </si>
  <si>
    <t>brother</t>
  </si>
  <si>
    <t>Electricity Bill (Home)</t>
  </si>
  <si>
    <t>Mutual Fund (Archana)</t>
  </si>
  <si>
    <t>Archana</t>
  </si>
  <si>
    <t>Airtel Internet bill</t>
  </si>
  <si>
    <t>PPF (Nandha)</t>
  </si>
  <si>
    <t>Walllet</t>
  </si>
  <si>
    <t>Mutual</t>
  </si>
  <si>
    <t>Gifts</t>
  </si>
  <si>
    <t>Coin</t>
  </si>
  <si>
    <t>Cash</t>
  </si>
  <si>
    <t>ACT</t>
  </si>
  <si>
    <t>Kayal</t>
  </si>
  <si>
    <t>FD</t>
  </si>
  <si>
    <t>Total BL</t>
  </si>
  <si>
    <t>TAX</t>
  </si>
  <si>
    <t>LIC Premium</t>
  </si>
  <si>
    <t>Previous</t>
  </si>
  <si>
    <t>Phone Recharge's</t>
  </si>
  <si>
    <t>PayTM Gold</t>
  </si>
  <si>
    <t>Account</t>
  </si>
  <si>
    <t>Previous adj</t>
  </si>
  <si>
    <t>Groceries &amp; Veg/Non Veg &amp; fruits other</t>
  </si>
  <si>
    <t>Stock Market IN</t>
  </si>
  <si>
    <t>divident</t>
  </si>
  <si>
    <t>Snacks and Shopping</t>
  </si>
  <si>
    <t>Post office saving</t>
  </si>
  <si>
    <t>Travelling</t>
  </si>
  <si>
    <t>Indian Bank (Archana)</t>
  </si>
  <si>
    <t>refund</t>
  </si>
  <si>
    <t>Medical expenses</t>
  </si>
  <si>
    <t>Post Office (Archana)</t>
  </si>
  <si>
    <t>Health Insurance Family</t>
  </si>
  <si>
    <t>SBI</t>
  </si>
  <si>
    <t>loan</t>
  </si>
  <si>
    <t xml:space="preserve">Archana </t>
  </si>
  <si>
    <t>IDBI</t>
  </si>
  <si>
    <t>cc</t>
  </si>
  <si>
    <t>Nandha Home</t>
  </si>
  <si>
    <t>Post office digi (Archana)</t>
  </si>
  <si>
    <t>HDFC Term insurance</t>
  </si>
  <si>
    <t>Hundial</t>
  </si>
  <si>
    <t>IDFC CC Payment</t>
  </si>
  <si>
    <t>Gold for kayal</t>
  </si>
  <si>
    <t xml:space="preserve">Axis CC Payment </t>
  </si>
  <si>
    <t>Bond</t>
  </si>
  <si>
    <t xml:space="preserve">HDFC CC Payment </t>
  </si>
  <si>
    <t>SSA</t>
  </si>
  <si>
    <t xml:space="preserve">HDFC UPI Credit </t>
  </si>
  <si>
    <t>Stock Market US</t>
  </si>
  <si>
    <t>Loan</t>
  </si>
  <si>
    <t>Current</t>
  </si>
  <si>
    <t>Paid</t>
  </si>
  <si>
    <t>Education and Traning</t>
  </si>
  <si>
    <t>Tour</t>
  </si>
  <si>
    <t>Total Expenses</t>
  </si>
  <si>
    <t>Total Savings</t>
  </si>
  <si>
    <t>Earning</t>
  </si>
  <si>
    <t>Expenses + Savings</t>
  </si>
  <si>
    <t>Balance</t>
  </si>
  <si>
    <t xml:space="preserve">cash on hand </t>
  </si>
  <si>
    <t>HDFC Credit card 💳</t>
  </si>
  <si>
    <t>Axis Credit card 💳</t>
  </si>
  <si>
    <t>HDFC UPI Credit card 💳</t>
  </si>
  <si>
    <t>IDFC</t>
  </si>
  <si>
    <t>Petty Loan</t>
  </si>
  <si>
    <t>Names</t>
  </si>
  <si>
    <t>Date</t>
  </si>
  <si>
    <t>Jio</t>
  </si>
  <si>
    <t>Appa</t>
  </si>
  <si>
    <t>Amma</t>
  </si>
  <si>
    <t>DTH</t>
  </si>
  <si>
    <t>Amazon</t>
  </si>
  <si>
    <t>Zee</t>
  </si>
  <si>
    <t>Netflix</t>
  </si>
  <si>
    <t>Airtel WIFI</t>
  </si>
  <si>
    <t>sundirect</t>
  </si>
  <si>
    <t>Descrition</t>
  </si>
  <si>
    <t>Grocery Items</t>
  </si>
  <si>
    <t>Veg/Fruit Items</t>
  </si>
  <si>
    <t>Non-veg/Egg Items</t>
  </si>
  <si>
    <t>Grocery Home</t>
  </si>
  <si>
    <t>Milk</t>
  </si>
  <si>
    <t>Non Veg/Egg</t>
  </si>
  <si>
    <t>Vegetable's /Fruits</t>
  </si>
  <si>
    <t xml:space="preserve">Grocery </t>
  </si>
  <si>
    <t>Grocery (Home)</t>
  </si>
  <si>
    <t>other</t>
  </si>
  <si>
    <t>Grocery Total</t>
  </si>
  <si>
    <t>Veg Total</t>
  </si>
  <si>
    <t>Meat Total</t>
  </si>
  <si>
    <t>Food</t>
  </si>
  <si>
    <t>Shopping</t>
  </si>
  <si>
    <t>kayal</t>
  </si>
  <si>
    <t>Movie</t>
  </si>
  <si>
    <t>Snacks/Outside food</t>
  </si>
  <si>
    <t>Food Total</t>
  </si>
  <si>
    <t>Shopping Total</t>
  </si>
  <si>
    <t>Nandha Personal care</t>
  </si>
  <si>
    <t>Archane Personal care</t>
  </si>
  <si>
    <t>Medical</t>
  </si>
  <si>
    <t>Medi Total</t>
  </si>
  <si>
    <t>Travel</t>
  </si>
  <si>
    <t>Education and Training</t>
  </si>
  <si>
    <t>Transport</t>
  </si>
  <si>
    <t>Stay</t>
  </si>
  <si>
    <t>Entry fees</t>
  </si>
  <si>
    <t xml:space="preserve">Total </t>
  </si>
  <si>
    <t>SNo</t>
  </si>
  <si>
    <t>Card</t>
  </si>
  <si>
    <t>Details</t>
  </si>
  <si>
    <t>HDFC</t>
  </si>
  <si>
    <t>AXIS</t>
  </si>
  <si>
    <t>HDFC UPI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</si>
</sst>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 mmm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/>
    <font>
      <b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theme="1"/>
      <name val="Arial"/>
      <scheme val="minor"/>
    </font>
    <font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3399"/>
        <bgColor rgb="FFFF3399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FD965"/>
        <bgColor rgb="FFFFD965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2" fontId="3" numFmtId="0" xfId="0" applyFill="1" applyFont="1"/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2" fontId="6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right"/>
    </xf>
    <xf borderId="0" fillId="2" fontId="3" numFmtId="0" xfId="0" applyAlignment="1" applyFont="1">
      <alignment readingOrder="0"/>
    </xf>
    <xf borderId="8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1" numFmtId="0" xfId="0" applyBorder="1" applyFont="1"/>
    <xf borderId="6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left"/>
    </xf>
    <xf borderId="7" fillId="2" fontId="7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right" readingOrder="0"/>
    </xf>
    <xf borderId="0" fillId="2" fontId="7" numFmtId="0" xfId="0" applyAlignment="1" applyFont="1">
      <alignment horizontal="center"/>
    </xf>
    <xf borderId="0" fillId="2" fontId="6" numFmtId="0" xfId="0" applyFont="1"/>
    <xf borderId="0" fillId="2" fontId="6" numFmtId="0" xfId="0" applyAlignment="1" applyFont="1">
      <alignment readingOrder="0"/>
    </xf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left"/>
    </xf>
    <xf borderId="7" fillId="2" fontId="1" numFmtId="0" xfId="0" applyAlignment="1" applyBorder="1" applyFont="1">
      <alignment horizontal="right"/>
    </xf>
    <xf borderId="0" fillId="2" fontId="1" numFmtId="0" xfId="0" applyFont="1"/>
    <xf borderId="0" fillId="2" fontId="2" numFmtId="0" xfId="0" applyFont="1"/>
    <xf borderId="0" fillId="2" fontId="2" numFmtId="0" xfId="0" applyAlignment="1" applyFont="1">
      <alignment readingOrder="0"/>
    </xf>
    <xf borderId="9" fillId="0" fontId="1" numFmtId="0" xfId="0" applyBorder="1" applyFont="1"/>
    <xf borderId="10" fillId="0" fontId="1" numFmtId="0" xfId="0" applyAlignment="1" applyBorder="1" applyFont="1">
      <alignment horizontal="left" readingOrder="0"/>
    </xf>
    <xf borderId="7" fillId="2" fontId="1" numFmtId="0" xfId="0" applyAlignment="1" applyBorder="1" applyFont="1">
      <alignment horizontal="center" readingOrder="0"/>
    </xf>
    <xf borderId="7" fillId="2" fontId="7" numFmtId="0" xfId="0" applyBorder="1" applyFont="1"/>
    <xf borderId="0" fillId="2" fontId="1" numFmtId="0" xfId="0" applyAlignment="1" applyFont="1">
      <alignment horizontal="center"/>
    </xf>
    <xf borderId="0" fillId="2" fontId="1" numFmtId="0" xfId="0" applyAlignment="1" applyFont="1">
      <alignment readingOrder="0"/>
    </xf>
    <xf borderId="7" fillId="2" fontId="1" numFmtId="0" xfId="0" applyAlignment="1" applyBorder="1" applyFont="1">
      <alignment readingOrder="0"/>
    </xf>
    <xf borderId="7" fillId="2" fontId="1" numFmtId="0" xfId="0" applyBorder="1" applyFont="1"/>
    <xf borderId="0" fillId="2" fontId="1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10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0" fillId="2" fontId="6" numFmtId="0" xfId="0" applyAlignment="1" applyFont="1">
      <alignment horizontal="center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center"/>
    </xf>
    <xf borderId="13" fillId="0" fontId="2" numFmtId="0" xfId="0" applyBorder="1" applyFont="1"/>
    <xf borderId="13" fillId="0" fontId="2" numFmtId="0" xfId="0" applyAlignment="1" applyBorder="1" applyFont="1">
      <alignment readingOrder="0"/>
    </xf>
    <xf borderId="14" fillId="0" fontId="7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6" fillId="0" fontId="2" numFmtId="0" xfId="0" applyBorder="1" applyFont="1"/>
    <xf borderId="10" fillId="0" fontId="2" numFmtId="0" xfId="0" applyAlignment="1" applyBorder="1" applyFont="1">
      <alignment horizontal="left"/>
    </xf>
    <xf borderId="0" fillId="0" fontId="6" numFmtId="0" xfId="0" applyFont="1"/>
    <xf borderId="16" fillId="3" fontId="2" numFmtId="0" xfId="0" applyAlignment="1" applyBorder="1" applyFill="1" applyFont="1">
      <alignment horizontal="center"/>
    </xf>
    <xf borderId="16" fillId="4" fontId="2" numFmtId="0" xfId="0" applyAlignment="1" applyBorder="1" applyFill="1" applyFont="1">
      <alignment horizontal="center"/>
    </xf>
    <xf borderId="17" fillId="5" fontId="2" numFmtId="0" xfId="0" applyAlignment="1" applyBorder="1" applyFill="1" applyFont="1">
      <alignment horizontal="center"/>
    </xf>
    <xf borderId="12" fillId="0" fontId="1" numFmtId="0" xfId="0" applyBorder="1" applyFont="1"/>
    <xf borderId="18" fillId="0" fontId="1" numFmtId="0" xfId="0" applyBorder="1" applyFont="1"/>
    <xf borderId="19" fillId="0" fontId="7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20" fillId="0" fontId="1" numFmtId="0" xfId="0" applyBorder="1" applyFont="1"/>
    <xf borderId="21" fillId="6" fontId="1" numFmtId="0" xfId="0" applyBorder="1" applyFill="1" applyFont="1"/>
    <xf borderId="4" fillId="7" fontId="1" numFmtId="0" xfId="0" applyAlignment="1" applyBorder="1" applyFill="1" applyFont="1">
      <alignment horizontal="center"/>
    </xf>
    <xf borderId="10" fillId="8" fontId="1" numFmtId="0" xfId="0" applyBorder="1" applyFill="1" applyFont="1"/>
    <xf borderId="5" fillId="0" fontId="1" numFmtId="0" xfId="0" applyAlignment="1" applyBorder="1" applyFont="1">
      <alignment horizontal="center"/>
    </xf>
    <xf borderId="10" fillId="9" fontId="1" numFmtId="0" xfId="0" applyAlignment="1" applyBorder="1" applyFill="1" applyFont="1">
      <alignment horizontal="left"/>
    </xf>
    <xf borderId="22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9" fillId="10" fontId="6" numFmtId="0" xfId="0" applyAlignment="1" applyBorder="1" applyFill="1" applyFont="1">
      <alignment shrinkToFit="0" vertical="bottom" wrapText="1"/>
    </xf>
    <xf borderId="15" fillId="10" fontId="2" numFmtId="0" xfId="0" applyAlignment="1" applyBorder="1" applyFont="1">
      <alignment horizontal="right" vertical="bottom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23" fillId="11" fontId="8" numFmtId="0" xfId="0" applyAlignment="1" applyBorder="1" applyFill="1" applyFont="1">
      <alignment shrinkToFit="0" wrapText="1"/>
    </xf>
    <xf borderId="24" fillId="11" fontId="9" numFmtId="0" xfId="0" applyBorder="1" applyFont="1"/>
    <xf borderId="0" fillId="2" fontId="7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23" fillId="12" fontId="8" numFmtId="0" xfId="0" applyBorder="1" applyFill="1" applyFont="1"/>
    <xf borderId="24" fillId="12" fontId="9" numFmtId="0" xfId="0" applyBorder="1" applyFont="1"/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19" fillId="13" fontId="2" numFmtId="0" xfId="0" applyBorder="1" applyFill="1" applyFont="1"/>
    <xf borderId="15" fillId="13" fontId="2" numFmtId="0" xfId="0" applyBorder="1" applyFont="1"/>
    <xf borderId="23" fillId="14" fontId="2" numFmtId="0" xfId="0" applyBorder="1" applyFill="1" applyFont="1"/>
    <xf borderId="24" fillId="14" fontId="2" numFmtId="0" xfId="0" applyBorder="1" applyFont="1"/>
    <xf borderId="25" fillId="4" fontId="2" numFmtId="0" xfId="0" applyBorder="1" applyFont="1"/>
    <xf borderId="26" fillId="4" fontId="2" numFmtId="0" xfId="0" applyBorder="1" applyFont="1"/>
    <xf borderId="27" fillId="4" fontId="2" numFmtId="0" xfId="0" applyBorder="1" applyFont="1"/>
    <xf borderId="28" fillId="15" fontId="2" numFmtId="0" xfId="0" applyBorder="1" applyFill="1" applyFont="1"/>
    <xf borderId="29" fillId="15" fontId="2" numFmtId="0" xfId="0" applyBorder="1" applyFont="1"/>
    <xf borderId="0" fillId="0" fontId="10" numFmtId="0" xfId="0" applyFont="1"/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 vertical="center"/>
    </xf>
    <xf borderId="7" fillId="0" fontId="7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/>
    </xf>
    <xf borderId="0" fillId="0" fontId="2" numFmtId="0" xfId="0" applyFont="1"/>
    <xf borderId="7" fillId="0" fontId="7" numFmtId="0" xfId="0" applyAlignment="1" applyBorder="1" applyFont="1">
      <alignment horizontal="center" readingOrder="0"/>
    </xf>
    <xf borderId="7" fillId="0" fontId="1" numFmtId="0" xfId="0" applyBorder="1" applyFont="1"/>
    <xf borderId="7" fillId="16" fontId="7" numFmtId="0" xfId="0" applyAlignment="1" applyBorder="1" applyFill="1" applyFont="1">
      <alignment horizontal="center"/>
    </xf>
    <xf borderId="0" fillId="16" fontId="7" numFmtId="0" xfId="0" applyFont="1"/>
    <xf borderId="19" fillId="10" fontId="6" numFmtId="0" xfId="0" applyAlignment="1" applyBorder="1" applyFont="1">
      <alignment horizontal="center"/>
    </xf>
    <xf borderId="14" fillId="10" fontId="6" numFmtId="0" xfId="0" applyAlignment="1" applyBorder="1" applyFont="1">
      <alignment horizontal="center"/>
    </xf>
    <xf borderId="15" fillId="10" fontId="6" numFmtId="0" xfId="0" applyAlignment="1" applyBorder="1" applyFont="1">
      <alignment horizontal="center"/>
    </xf>
    <xf borderId="19" fillId="17" fontId="6" numFmtId="0" xfId="0" applyAlignment="1" applyBorder="1" applyFill="1" applyFont="1">
      <alignment horizontal="center"/>
    </xf>
    <xf borderId="14" fillId="17" fontId="6" numFmtId="0" xfId="0" applyAlignment="1" applyBorder="1" applyFont="1">
      <alignment horizontal="center"/>
    </xf>
    <xf borderId="15" fillId="17" fontId="6" numFmtId="0" xfId="0" applyAlignment="1" applyBorder="1" applyFont="1">
      <alignment horizontal="center"/>
    </xf>
    <xf borderId="19" fillId="18" fontId="6" numFmtId="0" xfId="0" applyAlignment="1" applyBorder="1" applyFill="1" applyFont="1">
      <alignment horizontal="center"/>
    </xf>
    <xf borderId="14" fillId="18" fontId="6" numFmtId="0" xfId="0" applyAlignment="1" applyBorder="1" applyFont="1">
      <alignment horizontal="center"/>
    </xf>
    <xf borderId="15" fillId="18" fontId="6" numFmtId="0" xfId="0" applyAlignment="1" applyBorder="1" applyFont="1">
      <alignment horizontal="center"/>
    </xf>
    <xf borderId="19" fillId="15" fontId="6" numFmtId="0" xfId="0" applyAlignment="1" applyBorder="1" applyFont="1">
      <alignment horizontal="center"/>
    </xf>
    <xf borderId="14" fillId="15" fontId="6" numFmtId="0" xfId="0" applyAlignment="1" applyBorder="1" applyFont="1">
      <alignment horizontal="center"/>
    </xf>
    <xf borderId="15" fillId="15" fontId="6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7" fillId="18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7" fillId="17" fontId="1" numFmtId="0" xfId="0" applyAlignment="1" applyBorder="1" applyFont="1">
      <alignment horizontal="center"/>
    </xf>
    <xf borderId="7" fillId="0" fontId="2" numFmtId="0" xfId="0" applyBorder="1" applyFont="1"/>
    <xf borderId="7" fillId="19" fontId="1" numFmtId="0" xfId="0" applyAlignment="1" applyBorder="1" applyFill="1" applyFont="1">
      <alignment horizontal="center"/>
    </xf>
    <xf borderId="31" fillId="0" fontId="1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7" fillId="20" fontId="1" numFmtId="0" xfId="0" applyAlignment="1" applyBorder="1" applyFill="1" applyFont="1">
      <alignment horizontal="center"/>
    </xf>
    <xf borderId="32" fillId="0" fontId="2" numFmtId="0" xfId="0" applyAlignment="1" applyBorder="1" applyFont="1">
      <alignment horizontal="center"/>
    </xf>
    <xf borderId="33" fillId="0" fontId="5" numFmtId="0" xfId="0" applyBorder="1" applyFont="1"/>
    <xf borderId="34" fillId="0" fontId="2" numFmtId="0" xfId="0" applyBorder="1" applyFont="1"/>
    <xf borderId="7" fillId="0" fontId="2" numFmtId="0" xfId="0" applyAlignment="1" applyBorder="1" applyFont="1">
      <alignment horizontal="center" readingOrder="0"/>
    </xf>
    <xf borderId="30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0" fillId="0" fontId="7" numFmtId="0" xfId="0" applyFont="1"/>
    <xf borderId="19" fillId="21" fontId="6" numFmtId="0" xfId="0" applyAlignment="1" applyBorder="1" applyFill="1" applyFont="1">
      <alignment horizontal="center"/>
    </xf>
    <xf borderId="14" fillId="21" fontId="6" numFmtId="0" xfId="0" applyAlignment="1" applyBorder="1" applyFont="1">
      <alignment horizontal="center"/>
    </xf>
    <xf borderId="15" fillId="21" fontId="6" numFmtId="0" xfId="0" applyAlignment="1" applyBorder="1" applyFont="1">
      <alignment horizontal="center"/>
    </xf>
    <xf borderId="19" fillId="22" fontId="6" numFmtId="0" xfId="0" applyAlignment="1" applyBorder="1" applyFill="1" applyFont="1">
      <alignment horizontal="center"/>
    </xf>
    <xf borderId="14" fillId="22" fontId="6" numFmtId="0" xfId="0" applyAlignment="1" applyBorder="1" applyFont="1">
      <alignment horizontal="center"/>
    </xf>
    <xf borderId="15" fillId="22" fontId="6" numFmtId="0" xfId="0" applyAlignment="1" applyBorder="1" applyFont="1">
      <alignment horizontal="center"/>
    </xf>
    <xf borderId="19" fillId="22" fontId="6" numFmtId="0" xfId="0" applyAlignment="1" applyBorder="1" applyFont="1">
      <alignment horizontal="center" vertical="bottom"/>
    </xf>
    <xf borderId="14" fillId="22" fontId="6" numFmtId="0" xfId="0" applyAlignment="1" applyBorder="1" applyFont="1">
      <alignment horizontal="center" vertical="bottom"/>
    </xf>
    <xf borderId="15" fillId="22" fontId="6" numFmtId="0" xfId="0" applyAlignment="1" applyBorder="1" applyFont="1">
      <alignment horizontal="center" vertical="bottom"/>
    </xf>
    <xf borderId="14" fillId="22" fontId="6" numFmtId="0" xfId="0" applyAlignment="1" applyBorder="1" applyFont="1">
      <alignment horizontal="center" readingOrder="0" vertical="bottom"/>
    </xf>
    <xf borderId="23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left" readingOrder="0" shrinkToFit="0" wrapText="1"/>
    </xf>
    <xf borderId="24" fillId="0" fontId="2" numFmtId="0" xfId="0" applyAlignment="1" applyBorder="1" applyFont="1">
      <alignment horizontal="left" readingOrder="0"/>
    </xf>
    <xf borderId="7" fillId="22" fontId="1" numFmtId="0" xfId="0" applyAlignment="1" applyBorder="1" applyFont="1">
      <alignment horizontal="center"/>
    </xf>
    <xf borderId="7" fillId="0" fontId="2" numFmtId="165" xfId="0" applyAlignment="1" applyBorder="1" applyFont="1" applyNumberFormat="1">
      <alignment horizontal="center" readingOrder="0"/>
    </xf>
    <xf borderId="7" fillId="0" fontId="11" numFmtId="0" xfId="0" applyAlignment="1" applyBorder="1" applyFont="1">
      <alignment horizontal="left" readingOrder="0" shrinkToFit="0" vertical="bottom" wrapText="1"/>
    </xf>
    <xf borderId="24" fillId="0" fontId="11" numFmtId="0" xfId="0" applyAlignment="1" applyBorder="1" applyFont="1">
      <alignment horizontal="center" readingOrder="0" vertical="bottom"/>
    </xf>
    <xf borderId="24" fillId="0" fontId="11" numFmtId="0" xfId="0" applyAlignment="1" applyBorder="1" applyFont="1">
      <alignment horizontal="left" readingOrder="0" vertical="bottom"/>
    </xf>
    <xf borderId="7" fillId="21" fontId="1" numFmtId="0" xfId="0" applyAlignment="1" applyBorder="1" applyFont="1">
      <alignment horizontal="center"/>
    </xf>
    <xf borderId="7" fillId="0" fontId="2" numFmtId="0" xfId="0" applyAlignment="1" applyBorder="1" applyFont="1">
      <alignment horizontal="left" readingOrder="0" shrinkToFit="0" vertical="bottom" wrapText="1"/>
    </xf>
    <xf borderId="24" fillId="0" fontId="2" numFmtId="0" xfId="0" applyAlignment="1" applyBorder="1" applyFont="1">
      <alignment horizontal="center" readingOrder="0" vertical="bottom"/>
    </xf>
    <xf borderId="24" fillId="0" fontId="2" numFmtId="0" xfId="0" applyAlignment="1" applyBorder="1" applyFont="1">
      <alignment horizontal="left" readingOrder="0" vertical="bottom"/>
    </xf>
    <xf borderId="7" fillId="0" fontId="11" numFmtId="0" xfId="0" applyAlignment="1" applyBorder="1" applyFont="1">
      <alignment readingOrder="0" shrinkToFit="0" vertical="bottom" wrapText="1"/>
    </xf>
    <xf borderId="24" fillId="0" fontId="11" numFmtId="0" xfId="0" applyAlignment="1" applyBorder="1" applyFont="1">
      <alignment readingOrder="0" vertical="bottom"/>
    </xf>
    <xf borderId="7" fillId="0" fontId="11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24" fillId="0" fontId="11" numFmtId="0" xfId="0" applyAlignment="1" applyBorder="1" applyFont="1">
      <alignment vertical="bottom"/>
    </xf>
    <xf borderId="24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shrinkToFit="0" vertical="bottom" wrapText="1"/>
    </xf>
    <xf borderId="27" fillId="0" fontId="2" numFmtId="0" xfId="0" applyAlignment="1" applyBorder="1" applyFont="1">
      <alignment horizontal="center" vertical="bottom"/>
    </xf>
    <xf borderId="30" fillId="0" fontId="11" numFmtId="0" xfId="0" applyAlignment="1" applyBorder="1" applyFont="1">
      <alignment shrinkToFit="0" vertical="bottom" wrapText="1"/>
    </xf>
    <xf borderId="25" fillId="0" fontId="11" numFmtId="0" xfId="0" applyAlignment="1" applyBorder="1" applyFont="1">
      <alignment vertical="bottom"/>
    </xf>
    <xf borderId="32" fillId="0" fontId="6" numFmtId="0" xfId="0" applyAlignment="1" applyBorder="1" applyFont="1">
      <alignment horizontal="center"/>
    </xf>
    <xf borderId="34" fillId="0" fontId="2" numFmtId="0" xfId="0" applyAlignment="1" applyBorder="1" applyFont="1">
      <alignment horizontal="center"/>
    </xf>
    <xf borderId="32" fillId="0" fontId="6" numFmtId="0" xfId="0" applyAlignment="1" applyBorder="1" applyFont="1">
      <alignment horizontal="center" vertical="bottom"/>
    </xf>
    <xf borderId="34" fillId="19" fontId="2" numFmtId="0" xfId="0" applyAlignment="1" applyBorder="1" applyFont="1">
      <alignment horizontal="center" vertical="bottom"/>
    </xf>
    <xf borderId="14" fillId="21" fontId="6" numFmtId="0" xfId="0" applyAlignment="1" applyBorder="1" applyFont="1">
      <alignment horizontal="center" readingOrder="0"/>
    </xf>
    <xf borderId="32" fillId="0" fontId="6" numFmtId="0" xfId="0" applyAlignment="1" applyBorder="1" applyFont="1">
      <alignment horizontal="center" readingOrder="0"/>
    </xf>
    <xf borderId="14" fillId="17" fontId="6" numFmtId="0" xfId="0" applyAlignment="1" applyBorder="1" applyFont="1">
      <alignment horizontal="center" shrinkToFit="0" vertical="center" wrapText="1"/>
    </xf>
    <xf borderId="14" fillId="17" fontId="6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9" fillId="0" fontId="6" numFmtId="0" xfId="0" applyAlignment="1" applyBorder="1" applyFont="1">
      <alignment horizontal="center"/>
    </xf>
    <xf borderId="35" fillId="0" fontId="5" numFmtId="0" xfId="0" applyBorder="1" applyFont="1"/>
    <xf borderId="36" fillId="0" fontId="5" numFmtId="0" xfId="0" applyBorder="1" applyFont="1"/>
    <xf borderId="9" fillId="0" fontId="2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3.38"/>
    <col customWidth="1" min="3" max="3" width="7.63"/>
    <col customWidth="1" min="4" max="4" width="25.13"/>
    <col customWidth="1" min="5" max="6" width="7.63"/>
    <col customWidth="1" min="7" max="7" width="26.38"/>
    <col customWidth="1" min="8" max="9" width="7.63"/>
    <col customWidth="1" min="10" max="10" width="9.75"/>
    <col customWidth="1" min="11" max="11" width="17.13"/>
    <col customWidth="1" min="12" max="13" width="8.5"/>
    <col customWidth="1" min="14" max="14" width="7.38"/>
    <col customWidth="1" min="15" max="26" width="7.63"/>
  </cols>
  <sheetData>
    <row r="1" ht="14.25" customHeight="1">
      <c r="C1" s="1"/>
      <c r="D1" s="2" t="s">
        <v>0</v>
      </c>
      <c r="F1" s="1"/>
      <c r="H1" s="3"/>
    </row>
    <row r="2" ht="14.25" customHeight="1">
      <c r="C2" s="1"/>
      <c r="F2" s="1"/>
      <c r="H2" s="3"/>
      <c r="J2" s="4"/>
      <c r="K2" s="4"/>
      <c r="L2" s="4"/>
      <c r="M2" s="4"/>
      <c r="N2" s="4"/>
      <c r="O2" s="4"/>
    </row>
    <row r="3" ht="14.25" customHeight="1">
      <c r="A3" s="5" t="s">
        <v>1</v>
      </c>
      <c r="B3" s="6"/>
      <c r="C3" s="5" t="s">
        <v>2</v>
      </c>
      <c r="D3" s="7"/>
      <c r="E3" s="6"/>
      <c r="F3" s="8" t="s">
        <v>3</v>
      </c>
      <c r="G3" s="9"/>
      <c r="H3" s="10"/>
      <c r="J3" s="11" t="s">
        <v>4</v>
      </c>
      <c r="K3" s="12"/>
      <c r="L3" s="4"/>
      <c r="M3" s="4"/>
      <c r="N3" s="13" t="s">
        <v>5</v>
      </c>
      <c r="O3" s="13"/>
    </row>
    <row r="4" ht="14.25" customHeight="1">
      <c r="A4" s="14" t="s">
        <v>6</v>
      </c>
      <c r="B4" s="15" t="s">
        <v>7</v>
      </c>
      <c r="C4" s="16" t="s">
        <v>8</v>
      </c>
      <c r="D4" s="16" t="s">
        <v>9</v>
      </c>
      <c r="E4" s="16" t="s">
        <v>7</v>
      </c>
      <c r="F4" s="17" t="s">
        <v>8</v>
      </c>
      <c r="G4" s="18" t="s">
        <v>9</v>
      </c>
      <c r="H4" s="19" t="s">
        <v>10</v>
      </c>
      <c r="J4" s="20" t="s">
        <v>11</v>
      </c>
      <c r="K4" s="21"/>
      <c r="L4" s="22"/>
      <c r="M4" s="23"/>
      <c r="N4" s="24"/>
      <c r="O4" s="13"/>
    </row>
    <row r="5" ht="14.25" customHeight="1">
      <c r="A5" s="25" t="s">
        <v>12</v>
      </c>
      <c r="B5" s="26"/>
      <c r="C5" s="27">
        <v>1.0</v>
      </c>
      <c r="D5" s="16" t="s">
        <v>13</v>
      </c>
      <c r="E5" s="28"/>
      <c r="F5" s="29">
        <v>1.0</v>
      </c>
      <c r="G5" s="16" t="s">
        <v>14</v>
      </c>
      <c r="H5" s="30"/>
      <c r="J5" s="20" t="s">
        <v>15</v>
      </c>
      <c r="K5" s="31">
        <f>SUM(O3:O1018)</f>
        <v>0</v>
      </c>
      <c r="L5" s="32"/>
      <c r="M5" s="33"/>
      <c r="N5" s="34"/>
      <c r="O5" s="13"/>
    </row>
    <row r="6" ht="14.25" customHeight="1">
      <c r="A6" s="25" t="s">
        <v>16</v>
      </c>
      <c r="B6" s="35"/>
      <c r="C6" s="27">
        <v>2.0</v>
      </c>
      <c r="D6" s="28" t="s">
        <v>17</v>
      </c>
      <c r="E6" s="28">
        <f>'Personal care'!D33+'Personal care'!I33</f>
        <v>0</v>
      </c>
      <c r="F6" s="29">
        <v>2.0</v>
      </c>
      <c r="G6" s="16" t="s">
        <v>18</v>
      </c>
      <c r="H6" s="36"/>
      <c r="J6" s="37" t="s">
        <v>19</v>
      </c>
      <c r="K6" s="38">
        <f>SUM(K3:K5)</f>
        <v>0</v>
      </c>
      <c r="L6" s="32"/>
      <c r="M6" s="33"/>
      <c r="N6" s="34"/>
      <c r="O6" s="13"/>
    </row>
    <row r="7" ht="14.25" customHeight="1">
      <c r="A7" s="25" t="s">
        <v>20</v>
      </c>
      <c r="B7" s="35"/>
      <c r="C7" s="27">
        <v>3.0</v>
      </c>
      <c r="D7" s="16" t="s">
        <v>21</v>
      </c>
      <c r="E7" s="28"/>
      <c r="F7" s="29">
        <v>3.0</v>
      </c>
      <c r="G7" s="16" t="s">
        <v>22</v>
      </c>
      <c r="H7" s="36"/>
      <c r="J7" s="39"/>
      <c r="K7" s="40"/>
      <c r="L7" s="33"/>
      <c r="M7" s="33"/>
      <c r="N7" s="34"/>
      <c r="O7" s="13"/>
    </row>
    <row r="8" ht="14.25" customHeight="1">
      <c r="A8" s="25" t="s">
        <v>23</v>
      </c>
      <c r="B8" s="35"/>
      <c r="C8" s="27">
        <v>4.0</v>
      </c>
      <c r="D8" s="16" t="s">
        <v>24</v>
      </c>
      <c r="E8" s="28">
        <v>0.0</v>
      </c>
      <c r="F8" s="29">
        <v>4.0</v>
      </c>
      <c r="G8" s="16" t="s">
        <v>25</v>
      </c>
      <c r="H8" s="36"/>
      <c r="J8" s="37" t="s">
        <v>26</v>
      </c>
      <c r="K8" s="41">
        <v>5531.0</v>
      </c>
      <c r="L8" s="32"/>
      <c r="M8" s="33"/>
      <c r="N8" s="34"/>
      <c r="O8" s="13"/>
    </row>
    <row r="9" ht="14.25" customHeight="1">
      <c r="A9" s="25" t="s">
        <v>27</v>
      </c>
      <c r="B9" s="26"/>
      <c r="C9" s="27">
        <v>5.0</v>
      </c>
      <c r="D9" s="28" t="s">
        <v>28</v>
      </c>
      <c r="E9" s="28"/>
      <c r="F9" s="29">
        <v>5.0</v>
      </c>
      <c r="G9" s="16" t="s">
        <v>29</v>
      </c>
      <c r="H9" s="36"/>
      <c r="J9" s="20" t="s">
        <v>30</v>
      </c>
      <c r="K9" s="21"/>
      <c r="L9" s="32"/>
      <c r="M9" s="32"/>
      <c r="N9" s="34"/>
      <c r="O9" s="13"/>
    </row>
    <row r="10" ht="14.25" customHeight="1">
      <c r="A10" s="25" t="s">
        <v>31</v>
      </c>
      <c r="B10" s="35"/>
      <c r="C10" s="27">
        <v>6.0</v>
      </c>
      <c r="D10" s="16" t="s">
        <v>32</v>
      </c>
      <c r="E10" s="16">
        <f>'Snacks &amp; enterinment'!O33</f>
        <v>0</v>
      </c>
      <c r="F10" s="29">
        <v>6.0</v>
      </c>
      <c r="G10" s="28" t="s">
        <v>33</v>
      </c>
      <c r="H10" s="36"/>
      <c r="J10" s="37" t="s">
        <v>34</v>
      </c>
      <c r="K10" s="42"/>
      <c r="L10" s="32"/>
      <c r="M10" s="33"/>
      <c r="N10" s="34"/>
      <c r="O10" s="13"/>
    </row>
    <row r="11" ht="14.25" customHeight="1">
      <c r="A11" s="25" t="s">
        <v>27</v>
      </c>
      <c r="B11" s="26"/>
      <c r="C11" s="27">
        <v>7.0</v>
      </c>
      <c r="D11" s="28" t="s">
        <v>35</v>
      </c>
      <c r="E11" s="28">
        <v>0.0</v>
      </c>
      <c r="F11" s="29">
        <v>7.0</v>
      </c>
      <c r="G11" s="16" t="s">
        <v>36</v>
      </c>
      <c r="H11" s="30"/>
      <c r="J11" s="39"/>
      <c r="K11" s="32"/>
      <c r="L11" s="32"/>
      <c r="M11" s="32"/>
      <c r="N11" s="34"/>
      <c r="O11" s="13"/>
    </row>
    <row r="12" ht="14.25" customHeight="1">
      <c r="A12" s="25" t="s">
        <v>37</v>
      </c>
      <c r="B12" s="35"/>
      <c r="C12" s="27">
        <v>8.0</v>
      </c>
      <c r="D12" s="16" t="s">
        <v>38</v>
      </c>
      <c r="E12" s="16">
        <f>'Phone Recharges'!B12</f>
        <v>0</v>
      </c>
      <c r="F12" s="29">
        <v>8.0</v>
      </c>
      <c r="G12" s="16" t="s">
        <v>39</v>
      </c>
      <c r="H12" s="30"/>
      <c r="J12" s="43" t="s">
        <v>40</v>
      </c>
      <c r="K12" s="32">
        <f>B32-K8</f>
        <v>-5531</v>
      </c>
      <c r="L12" s="32"/>
      <c r="M12" s="33"/>
      <c r="N12" s="34"/>
      <c r="O12" s="13"/>
    </row>
    <row r="13" ht="14.25" customHeight="1">
      <c r="A13" s="25" t="s">
        <v>41</v>
      </c>
      <c r="B13" s="26"/>
      <c r="C13" s="44">
        <v>9.0</v>
      </c>
      <c r="D13" s="28" t="s">
        <v>42</v>
      </c>
      <c r="E13" s="28">
        <f>'Groceries &amp; Vegtables'!B8</f>
        <v>0</v>
      </c>
      <c r="F13" s="29">
        <v>9.0</v>
      </c>
      <c r="G13" s="28" t="s">
        <v>43</v>
      </c>
      <c r="H13" s="36"/>
      <c r="J13" s="39"/>
      <c r="K13" s="32"/>
      <c r="L13" s="32"/>
      <c r="M13" s="33"/>
      <c r="N13" s="34"/>
      <c r="O13" s="13"/>
    </row>
    <row r="14" ht="14.25" customHeight="1">
      <c r="A14" s="45" t="s">
        <v>44</v>
      </c>
      <c r="B14" s="26"/>
      <c r="C14" s="46">
        <v>10.0</v>
      </c>
      <c r="D14" s="16" t="s">
        <v>45</v>
      </c>
      <c r="E14" s="16">
        <f>'Snacks &amp; enterinment'!B8</f>
        <v>0</v>
      </c>
      <c r="F14" s="29">
        <v>10.0</v>
      </c>
      <c r="G14" s="16" t="s">
        <v>46</v>
      </c>
      <c r="H14" s="30"/>
      <c r="J14" s="39"/>
      <c r="K14" s="32"/>
      <c r="L14" s="33"/>
      <c r="M14" s="33"/>
      <c r="N14" s="34"/>
      <c r="O14" s="13"/>
    </row>
    <row r="15" ht="14.25" customHeight="1">
      <c r="A15" s="25"/>
      <c r="B15" s="35"/>
      <c r="C15" s="47">
        <v>11.0</v>
      </c>
      <c r="D15" s="28" t="s">
        <v>47</v>
      </c>
      <c r="E15" s="28">
        <f>Travel!C33</f>
        <v>0</v>
      </c>
      <c r="F15" s="29">
        <v>11.0</v>
      </c>
      <c r="G15" s="16" t="s">
        <v>48</v>
      </c>
      <c r="H15" s="30"/>
      <c r="J15" s="39"/>
      <c r="K15" s="32"/>
      <c r="L15" s="33"/>
      <c r="M15" s="33"/>
      <c r="N15" s="34"/>
      <c r="O15" s="13"/>
    </row>
    <row r="16" ht="14.25" customHeight="1">
      <c r="A16" s="45" t="s">
        <v>49</v>
      </c>
      <c r="B16" s="35"/>
      <c r="C16" s="48">
        <v>12.0</v>
      </c>
      <c r="D16" s="16" t="s">
        <v>50</v>
      </c>
      <c r="E16" s="16">
        <f>Medical!C33</f>
        <v>0</v>
      </c>
      <c r="F16" s="29">
        <v>12.0</v>
      </c>
      <c r="G16" s="16" t="s">
        <v>51</v>
      </c>
      <c r="H16" s="30"/>
      <c r="J16" s="39"/>
      <c r="K16" s="33"/>
      <c r="L16" s="33"/>
      <c r="M16" s="33"/>
      <c r="N16" s="34"/>
      <c r="O16" s="13"/>
    </row>
    <row r="17" ht="14.25" customHeight="1">
      <c r="A17" s="25"/>
      <c r="B17" s="35"/>
      <c r="C17" s="49">
        <v>13.0</v>
      </c>
      <c r="D17" s="28" t="s">
        <v>52</v>
      </c>
      <c r="E17" s="28">
        <v>0.0</v>
      </c>
      <c r="F17" s="27">
        <v>13.0</v>
      </c>
      <c r="G17" s="16" t="s">
        <v>53</v>
      </c>
      <c r="H17" s="30"/>
      <c r="J17" s="50"/>
      <c r="K17" s="33"/>
      <c r="L17" s="33"/>
      <c r="M17" s="33"/>
      <c r="N17" s="34"/>
      <c r="O17" s="13"/>
    </row>
    <row r="18" ht="14.25" customHeight="1">
      <c r="A18" s="45" t="s">
        <v>54</v>
      </c>
      <c r="B18" s="26"/>
      <c r="C18" s="49">
        <v>14.0</v>
      </c>
      <c r="D18" s="28" t="s">
        <v>55</v>
      </c>
      <c r="E18" s="28"/>
      <c r="F18" s="27">
        <v>14.0</v>
      </c>
      <c r="G18" s="16" t="s">
        <v>56</v>
      </c>
      <c r="H18" s="36"/>
      <c r="J18" s="50"/>
      <c r="K18" s="33"/>
      <c r="L18" s="33"/>
      <c r="M18" s="33"/>
      <c r="N18" s="34"/>
      <c r="O18" s="13"/>
    </row>
    <row r="19" ht="14.25" customHeight="1">
      <c r="A19" s="45" t="s">
        <v>57</v>
      </c>
      <c r="B19" s="35"/>
      <c r="C19" s="49">
        <v>15.0</v>
      </c>
      <c r="D19" s="16" t="s">
        <v>58</v>
      </c>
      <c r="E19" s="28"/>
      <c r="F19" s="27">
        <v>15.0</v>
      </c>
      <c r="G19" s="16" t="s">
        <v>59</v>
      </c>
      <c r="H19" s="30"/>
      <c r="J19" s="50"/>
      <c r="K19" s="33"/>
      <c r="L19" s="33"/>
      <c r="M19" s="33"/>
      <c r="N19" s="33"/>
      <c r="O19" s="4"/>
    </row>
    <row r="20" ht="14.25" customHeight="1">
      <c r="A20" s="25"/>
      <c r="B20" s="35"/>
      <c r="C20" s="49">
        <v>16.0</v>
      </c>
      <c r="D20" s="16" t="s">
        <v>60</v>
      </c>
      <c r="E20" s="28"/>
      <c r="F20" s="27">
        <v>16.0</v>
      </c>
      <c r="G20" s="16" t="s">
        <v>61</v>
      </c>
      <c r="H20" s="36"/>
      <c r="J20" s="50"/>
      <c r="K20" s="33"/>
      <c r="L20" s="51"/>
      <c r="M20" s="51"/>
      <c r="N20" s="51"/>
      <c r="O20" s="4"/>
    </row>
    <row r="21" ht="14.25" customHeight="1">
      <c r="A21" s="25"/>
      <c r="B21" s="35"/>
      <c r="C21" s="49">
        <v>17.0</v>
      </c>
      <c r="D21" s="16" t="s">
        <v>62</v>
      </c>
      <c r="E21" s="28">
        <v>0.0</v>
      </c>
      <c r="F21" s="27">
        <v>17.0</v>
      </c>
      <c r="G21" s="28" t="s">
        <v>63</v>
      </c>
      <c r="H21" s="36"/>
      <c r="J21" s="50"/>
      <c r="K21" s="33"/>
    </row>
    <row r="22" ht="14.25" customHeight="1">
      <c r="A22" s="25"/>
      <c r="B22" s="35"/>
      <c r="C22" s="49">
        <v>18.0</v>
      </c>
      <c r="D22" s="52" t="s">
        <v>64</v>
      </c>
      <c r="E22" s="53">
        <v>0.0</v>
      </c>
      <c r="F22" s="54">
        <v>18.0</v>
      </c>
      <c r="G22" s="28" t="s">
        <v>65</v>
      </c>
      <c r="H22" s="55"/>
      <c r="J22" s="51"/>
    </row>
    <row r="23" ht="14.25" customHeight="1">
      <c r="A23" s="25"/>
      <c r="B23" s="35"/>
      <c r="C23" s="49">
        <v>19.0</v>
      </c>
      <c r="D23" s="52" t="s">
        <v>66</v>
      </c>
      <c r="E23" s="53"/>
      <c r="F23" s="54">
        <v>19.0</v>
      </c>
      <c r="G23" s="53" t="s">
        <v>67</v>
      </c>
      <c r="H23" s="36"/>
    </row>
    <row r="24" ht="14.25" customHeight="1">
      <c r="A24" s="25"/>
      <c r="B24" s="35"/>
      <c r="C24" s="56">
        <v>20.0</v>
      </c>
      <c r="D24" s="57" t="s">
        <v>68</v>
      </c>
      <c r="E24" s="58"/>
      <c r="F24" s="52"/>
      <c r="G24" s="53" t="s">
        <v>69</v>
      </c>
      <c r="H24" s="36"/>
      <c r="L24" s="59" t="s">
        <v>70</v>
      </c>
      <c r="M24" s="60" t="s">
        <v>71</v>
      </c>
      <c r="N24" s="61" t="s">
        <v>72</v>
      </c>
    </row>
    <row r="25" ht="14.25" customHeight="1">
      <c r="A25" s="25"/>
      <c r="B25" s="35"/>
      <c r="C25" s="27">
        <v>21.0</v>
      </c>
      <c r="D25" s="52" t="s">
        <v>73</v>
      </c>
      <c r="E25" s="52">
        <f>Education!C33</f>
        <v>0</v>
      </c>
      <c r="F25" s="62"/>
      <c r="G25" s="52"/>
      <c r="H25" s="63"/>
      <c r="J25" s="64" t="s">
        <v>70</v>
      </c>
      <c r="L25" s="65"/>
      <c r="M25" s="66"/>
      <c r="N25" s="67"/>
    </row>
    <row r="26" ht="14.25" customHeight="1">
      <c r="A26" s="68"/>
      <c r="B26" s="69"/>
      <c r="C26" s="44">
        <v>22.0</v>
      </c>
      <c r="D26" s="53" t="s">
        <v>74</v>
      </c>
      <c r="E26" s="53">
        <f>tour!B37</f>
        <v>0</v>
      </c>
      <c r="F26" s="62"/>
      <c r="G26" s="52"/>
      <c r="H26" s="63"/>
      <c r="J26" s="70" t="s">
        <v>8</v>
      </c>
      <c r="K26" s="59" t="s">
        <v>9</v>
      </c>
      <c r="L26" s="71"/>
      <c r="M26" s="72"/>
      <c r="N26" s="73"/>
    </row>
    <row r="27" ht="14.25" customHeight="1">
      <c r="A27" s="74" t="s">
        <v>19</v>
      </c>
      <c r="B27" s="75">
        <f>SUM(B5:B25)</f>
        <v>0</v>
      </c>
      <c r="C27" s="76" t="s">
        <v>75</v>
      </c>
      <c r="D27" s="10"/>
      <c r="E27" s="77">
        <f>SUM(E5:E26)</f>
        <v>0</v>
      </c>
      <c r="F27" s="78" t="s">
        <v>76</v>
      </c>
      <c r="G27" s="10"/>
      <c r="H27" s="79">
        <f>SUM(H5:H25)</f>
        <v>0</v>
      </c>
      <c r="J27" s="80">
        <v>1.0</v>
      </c>
      <c r="K27" s="81"/>
    </row>
    <row r="28" ht="14.25" customHeight="1">
      <c r="C28" s="1"/>
      <c r="F28" s="1"/>
      <c r="H28" s="3"/>
      <c r="J28" s="82"/>
      <c r="K28" s="82"/>
    </row>
    <row r="29" ht="14.25" customHeight="1">
      <c r="C29" s="1"/>
      <c r="F29" s="1"/>
      <c r="H29" s="3"/>
    </row>
    <row r="30" ht="14.25" customHeight="1">
      <c r="A30" s="83" t="s">
        <v>77</v>
      </c>
      <c r="B30" s="84">
        <f>B27</f>
        <v>0</v>
      </c>
      <c r="C30" s="1"/>
      <c r="F30" s="1"/>
      <c r="H30" s="3"/>
      <c r="L30" s="85"/>
      <c r="M30" s="86"/>
      <c r="N30" s="87"/>
    </row>
    <row r="31" ht="14.25" customHeight="1">
      <c r="A31" s="88" t="s">
        <v>78</v>
      </c>
      <c r="B31" s="89">
        <f>E27+H27</f>
        <v>0</v>
      </c>
      <c r="C31" s="1"/>
      <c r="F31" s="1"/>
      <c r="H31" s="3"/>
      <c r="L31" s="90"/>
      <c r="M31" s="91"/>
      <c r="N31" s="51"/>
    </row>
    <row r="32" ht="14.25" customHeight="1">
      <c r="A32" s="92" t="s">
        <v>79</v>
      </c>
      <c r="B32" s="93">
        <f>B27-B31</f>
        <v>0</v>
      </c>
      <c r="C32" s="1"/>
      <c r="F32" s="1"/>
      <c r="G32" s="2"/>
      <c r="H32" s="3"/>
      <c r="J32" s="85"/>
      <c r="K32" s="85"/>
      <c r="L32" s="94"/>
      <c r="M32" s="94"/>
      <c r="N32" s="50"/>
    </row>
    <row r="33" ht="14.25" customHeight="1">
      <c r="A33" s="95" t="s">
        <v>80</v>
      </c>
      <c r="B33" s="96">
        <f>B32+K6</f>
        <v>0</v>
      </c>
      <c r="C33" s="1"/>
      <c r="F33" s="1"/>
      <c r="G33" s="2"/>
      <c r="H33" s="3"/>
      <c r="J33" s="90"/>
      <c r="K33" s="90"/>
      <c r="L33" s="94"/>
      <c r="M33" s="94"/>
      <c r="N33" s="4"/>
    </row>
    <row r="34" ht="14.25" customHeight="1">
      <c r="A34" s="97" t="s">
        <v>81</v>
      </c>
      <c r="B34" s="98">
        <f>Credit_Card_Pay!D26</f>
        <v>0</v>
      </c>
      <c r="C34" s="1"/>
      <c r="F34" s="1"/>
      <c r="H34" s="3"/>
      <c r="J34" s="94"/>
      <c r="K34" s="94"/>
      <c r="L34" s="94"/>
      <c r="M34" s="94"/>
      <c r="N34" s="4"/>
    </row>
    <row r="35" ht="14.25" customHeight="1">
      <c r="A35" s="99" t="s">
        <v>82</v>
      </c>
      <c r="B35" s="100">
        <f>Credit_Card_Pay!I26</f>
        <v>0</v>
      </c>
      <c r="C35" s="1"/>
      <c r="F35" s="1"/>
      <c r="H35" s="3"/>
      <c r="J35" s="94"/>
      <c r="K35" s="94"/>
      <c r="L35" s="94"/>
      <c r="M35" s="94"/>
      <c r="N35" s="4"/>
    </row>
    <row r="36" ht="14.25" customHeight="1">
      <c r="A36" s="97" t="s">
        <v>83</v>
      </c>
      <c r="B36" s="101">
        <f>Credit_Card_Pay!N26</f>
        <v>0</v>
      </c>
      <c r="C36" s="1"/>
      <c r="F36" s="1"/>
      <c r="H36" s="3"/>
      <c r="J36" s="94"/>
      <c r="K36" s="94"/>
      <c r="L36" s="94"/>
      <c r="M36" s="94"/>
      <c r="N36" s="4"/>
    </row>
    <row r="37" ht="14.25" customHeight="1">
      <c r="A37" s="102" t="s">
        <v>84</v>
      </c>
      <c r="B37" s="101">
        <f>Credit_Card_Pay!S26</f>
        <v>0</v>
      </c>
      <c r="C37" s="1"/>
      <c r="F37" s="1"/>
      <c r="H37" s="3"/>
      <c r="J37" s="94"/>
      <c r="K37" s="94"/>
      <c r="L37" s="94"/>
      <c r="M37" s="94"/>
      <c r="N37" s="4"/>
    </row>
    <row r="38" ht="14.25" customHeight="1">
      <c r="A38" s="103" t="s">
        <v>85</v>
      </c>
      <c r="B38" s="101">
        <f>Credit_Card_Pay!X26</f>
        <v>0</v>
      </c>
      <c r="C38" s="1"/>
      <c r="F38" s="1"/>
      <c r="H38" s="3"/>
      <c r="J38" s="94"/>
      <c r="K38" s="94"/>
      <c r="L38" s="94"/>
      <c r="M38" s="94"/>
      <c r="N38" s="4"/>
    </row>
    <row r="39" ht="14.25" customHeight="1">
      <c r="A39" s="104" t="s">
        <v>19</v>
      </c>
      <c r="B39" s="105">
        <f>SUM(B34:B38)</f>
        <v>0</v>
      </c>
      <c r="C39" s="1"/>
      <c r="F39" s="1"/>
      <c r="H39" s="3"/>
      <c r="J39" s="94"/>
      <c r="K39" s="94"/>
      <c r="L39" s="94"/>
      <c r="M39" s="94"/>
      <c r="N39" s="4"/>
    </row>
    <row r="40" ht="14.25" customHeight="1">
      <c r="C40" s="1"/>
      <c r="F40" s="1"/>
      <c r="H40" s="3"/>
      <c r="J40" s="94"/>
      <c r="K40" s="94"/>
      <c r="L40" s="94"/>
      <c r="M40" s="94"/>
      <c r="N40" s="4"/>
    </row>
    <row r="41" ht="14.25" customHeight="1">
      <c r="C41" s="1"/>
      <c r="F41" s="1"/>
      <c r="H41" s="3"/>
      <c r="J41" s="94"/>
      <c r="K41" s="94"/>
      <c r="L41" s="94"/>
      <c r="M41" s="94"/>
      <c r="N41" s="4"/>
    </row>
    <row r="42" ht="14.25" customHeight="1">
      <c r="C42" s="1"/>
      <c r="F42" s="1"/>
      <c r="H42" s="3"/>
      <c r="J42" s="94"/>
      <c r="K42" s="94"/>
      <c r="L42" s="94"/>
      <c r="M42" s="94"/>
      <c r="N42" s="4"/>
    </row>
    <row r="43" ht="14.25" customHeight="1">
      <c r="C43" s="1"/>
      <c r="F43" s="1"/>
      <c r="G43" s="106"/>
      <c r="H43" s="107"/>
      <c r="J43" s="94"/>
      <c r="K43" s="94"/>
      <c r="L43" s="94"/>
      <c r="M43" s="94"/>
      <c r="N43" s="4"/>
    </row>
    <row r="44" ht="14.25" customHeight="1">
      <c r="C44" s="1"/>
      <c r="F44" s="1"/>
      <c r="H44" s="3"/>
      <c r="J44" s="94"/>
      <c r="K44" s="94"/>
      <c r="L44" s="94"/>
      <c r="M44" s="94"/>
      <c r="N44" s="4"/>
    </row>
    <row r="45" ht="14.25" customHeight="1">
      <c r="C45" s="1"/>
      <c r="F45" s="1"/>
      <c r="H45" s="3"/>
      <c r="J45" s="108"/>
      <c r="K45" s="94"/>
      <c r="L45" s="94"/>
      <c r="M45" s="94"/>
      <c r="N45" s="4"/>
    </row>
    <row r="46" ht="14.25" customHeight="1">
      <c r="C46" s="1"/>
      <c r="F46" s="1"/>
      <c r="H46" s="3"/>
      <c r="J46" s="94"/>
      <c r="K46" s="94"/>
      <c r="L46" s="50"/>
      <c r="M46" s="94"/>
      <c r="N46" s="4"/>
    </row>
    <row r="47" ht="14.25" customHeight="1">
      <c r="C47" s="1"/>
      <c r="F47" s="1"/>
      <c r="H47" s="3"/>
      <c r="J47" s="94"/>
      <c r="K47" s="94"/>
      <c r="L47" s="50"/>
      <c r="M47" s="94"/>
      <c r="N47" s="4"/>
    </row>
    <row r="48" ht="14.25" customHeight="1">
      <c r="C48" s="1"/>
      <c r="F48" s="1"/>
      <c r="H48" s="3"/>
      <c r="J48" s="50"/>
      <c r="K48" s="94"/>
      <c r="L48" s="50"/>
      <c r="M48" s="33"/>
      <c r="N48" s="4"/>
    </row>
    <row r="49" ht="14.25" customHeight="1">
      <c r="C49" s="1"/>
      <c r="F49" s="1"/>
      <c r="H49" s="3"/>
      <c r="J49" s="50"/>
      <c r="K49" s="50"/>
      <c r="L49" s="50"/>
      <c r="M49" s="94"/>
      <c r="N49" s="4"/>
    </row>
    <row r="50" ht="14.25" customHeight="1">
      <c r="C50" s="1"/>
      <c r="F50" s="1"/>
      <c r="H50" s="3"/>
      <c r="J50" s="50"/>
      <c r="K50" s="50"/>
      <c r="L50" s="50"/>
      <c r="M50" s="94"/>
      <c r="N50" s="4"/>
    </row>
    <row r="51" ht="14.25" customHeight="1">
      <c r="C51" s="1"/>
      <c r="F51" s="1"/>
      <c r="H51" s="3"/>
      <c r="J51" s="50"/>
      <c r="K51" s="50"/>
      <c r="L51" s="50"/>
      <c r="M51" s="94"/>
      <c r="N51" s="4"/>
    </row>
    <row r="52" ht="14.25" customHeight="1">
      <c r="C52" s="1"/>
      <c r="F52" s="1"/>
      <c r="H52" s="3"/>
      <c r="J52" s="50"/>
      <c r="K52" s="50"/>
      <c r="L52" s="94"/>
      <c r="M52" s="94"/>
      <c r="N52" s="4"/>
    </row>
    <row r="53" ht="14.25" customHeight="1">
      <c r="C53" s="1"/>
      <c r="F53" s="1"/>
      <c r="H53" s="3"/>
      <c r="J53" s="50"/>
      <c r="K53" s="50"/>
      <c r="L53" s="50"/>
      <c r="M53" s="94"/>
      <c r="N53" s="4"/>
    </row>
    <row r="54" ht="14.25" customHeight="1">
      <c r="C54" s="1"/>
      <c r="F54" s="1"/>
      <c r="H54" s="3"/>
      <c r="J54" s="94"/>
      <c r="K54" s="94"/>
      <c r="L54" s="50"/>
      <c r="M54" s="94"/>
      <c r="N54" s="4"/>
    </row>
    <row r="55" ht="14.25" customHeight="1">
      <c r="C55" s="1"/>
      <c r="F55" s="1"/>
      <c r="H55" s="3"/>
      <c r="J55" s="94"/>
      <c r="K55" s="94"/>
      <c r="L55" s="50"/>
      <c r="M55" s="94"/>
      <c r="N55" s="4"/>
    </row>
    <row r="56" ht="14.25" customHeight="1">
      <c r="C56" s="1"/>
      <c r="F56" s="1"/>
      <c r="H56" s="3"/>
      <c r="J56" s="94"/>
      <c r="K56" s="94"/>
      <c r="L56" s="94"/>
      <c r="M56" s="94"/>
      <c r="N56" s="33"/>
    </row>
    <row r="57" ht="14.25" customHeight="1">
      <c r="C57" s="1"/>
      <c r="F57" s="1"/>
      <c r="H57" s="3"/>
      <c r="J57" s="94"/>
      <c r="K57" s="94"/>
    </row>
    <row r="58" ht="14.25" customHeight="1">
      <c r="C58" s="1"/>
      <c r="F58" s="1"/>
      <c r="H58" s="3"/>
      <c r="J58" s="94"/>
      <c r="K58" s="94"/>
    </row>
    <row r="59" ht="14.25" customHeight="1">
      <c r="C59" s="1"/>
      <c r="F59" s="1"/>
      <c r="H59" s="3"/>
    </row>
    <row r="60" ht="14.25" customHeight="1">
      <c r="C60" s="1"/>
      <c r="F60" s="1"/>
      <c r="H60" s="3"/>
    </row>
    <row r="61" ht="14.25" customHeight="1">
      <c r="C61" s="1"/>
      <c r="F61" s="1"/>
      <c r="H61" s="3"/>
    </row>
    <row r="62" ht="14.25" customHeight="1">
      <c r="C62" s="1"/>
      <c r="F62" s="1"/>
      <c r="H62" s="3"/>
    </row>
    <row r="63" ht="14.25" customHeight="1">
      <c r="C63" s="1"/>
      <c r="F63" s="1"/>
      <c r="H63" s="3"/>
    </row>
    <row r="64" ht="14.25" customHeight="1">
      <c r="C64" s="1"/>
      <c r="F64" s="1"/>
      <c r="H64" s="3"/>
    </row>
    <row r="65" ht="14.25" customHeight="1">
      <c r="C65" s="1"/>
      <c r="F65" s="1"/>
      <c r="H65" s="3"/>
    </row>
    <row r="66" ht="14.25" customHeight="1">
      <c r="C66" s="1"/>
      <c r="F66" s="1"/>
      <c r="H66" s="3"/>
    </row>
    <row r="67" ht="14.25" customHeight="1">
      <c r="C67" s="1"/>
      <c r="F67" s="1"/>
      <c r="H67" s="3"/>
    </row>
    <row r="68" ht="14.25" customHeight="1">
      <c r="C68" s="1"/>
      <c r="F68" s="1"/>
      <c r="H68" s="3"/>
    </row>
    <row r="69" ht="14.25" customHeight="1">
      <c r="C69" s="1"/>
      <c r="F69" s="1"/>
      <c r="H69" s="3"/>
    </row>
    <row r="70" ht="14.25" customHeight="1">
      <c r="C70" s="1"/>
      <c r="F70" s="1"/>
      <c r="H70" s="3"/>
    </row>
    <row r="71" ht="14.25" customHeight="1">
      <c r="C71" s="1"/>
      <c r="F71" s="1"/>
      <c r="H71" s="3"/>
    </row>
    <row r="72" ht="14.25" customHeight="1">
      <c r="C72" s="1"/>
      <c r="F72" s="1"/>
      <c r="H72" s="3"/>
    </row>
    <row r="73" ht="14.25" customHeight="1">
      <c r="C73" s="1"/>
      <c r="F73" s="1"/>
      <c r="H73" s="3"/>
    </row>
    <row r="74" ht="14.25" customHeight="1">
      <c r="C74" s="1"/>
      <c r="F74" s="1"/>
      <c r="H74" s="3"/>
    </row>
    <row r="75" ht="14.25" customHeight="1">
      <c r="C75" s="1"/>
      <c r="F75" s="1"/>
      <c r="H75" s="3"/>
    </row>
    <row r="76" ht="14.25" customHeight="1">
      <c r="C76" s="1"/>
      <c r="F76" s="1"/>
      <c r="H76" s="3"/>
    </row>
    <row r="77" ht="14.25" customHeight="1">
      <c r="C77" s="1"/>
      <c r="F77" s="1"/>
      <c r="H77" s="3"/>
    </row>
    <row r="78" ht="14.25" customHeight="1">
      <c r="C78" s="1"/>
      <c r="F78" s="1"/>
      <c r="H78" s="3"/>
    </row>
    <row r="79" ht="14.25" customHeight="1">
      <c r="C79" s="1"/>
      <c r="F79" s="1"/>
      <c r="H79" s="3"/>
    </row>
    <row r="80" ht="14.25" customHeight="1">
      <c r="C80" s="1"/>
      <c r="F80" s="1"/>
      <c r="H80" s="3"/>
    </row>
    <row r="81" ht="14.25" customHeight="1">
      <c r="C81" s="1"/>
      <c r="F81" s="1"/>
      <c r="H81" s="3"/>
    </row>
    <row r="82" ht="14.25" customHeight="1">
      <c r="C82" s="1"/>
      <c r="F82" s="1"/>
      <c r="H82" s="3"/>
    </row>
    <row r="83" ht="14.25" customHeight="1">
      <c r="C83" s="1"/>
      <c r="F83" s="1"/>
      <c r="H83" s="3"/>
    </row>
    <row r="84" ht="14.25" customHeight="1">
      <c r="C84" s="1"/>
      <c r="F84" s="1"/>
      <c r="H84" s="3"/>
    </row>
    <row r="85" ht="14.25" customHeight="1">
      <c r="C85" s="1"/>
      <c r="F85" s="1"/>
      <c r="H85" s="3"/>
    </row>
    <row r="86" ht="14.25" customHeight="1">
      <c r="C86" s="1"/>
      <c r="F86" s="1"/>
      <c r="H86" s="3"/>
    </row>
    <row r="87" ht="14.25" customHeight="1">
      <c r="C87" s="1"/>
      <c r="F87" s="1"/>
      <c r="H87" s="3"/>
    </row>
    <row r="88" ht="14.25" customHeight="1">
      <c r="C88" s="1"/>
      <c r="F88" s="1"/>
      <c r="H88" s="3"/>
    </row>
    <row r="89" ht="14.25" customHeight="1">
      <c r="C89" s="1"/>
      <c r="F89" s="1"/>
      <c r="H89" s="3"/>
    </row>
    <row r="90" ht="14.25" customHeight="1">
      <c r="C90" s="1"/>
      <c r="F90" s="1"/>
      <c r="H90" s="3"/>
    </row>
    <row r="91" ht="14.25" customHeight="1">
      <c r="C91" s="1"/>
      <c r="F91" s="1"/>
      <c r="H91" s="3"/>
    </row>
    <row r="92" ht="14.25" customHeight="1">
      <c r="C92" s="1"/>
      <c r="F92" s="1"/>
      <c r="H92" s="3"/>
    </row>
    <row r="93" ht="14.25" customHeight="1">
      <c r="C93" s="1"/>
      <c r="F93" s="1"/>
      <c r="H93" s="3"/>
    </row>
    <row r="94" ht="14.25" customHeight="1">
      <c r="C94" s="1"/>
      <c r="F94" s="1"/>
      <c r="H94" s="3"/>
    </row>
    <row r="95" ht="14.25" customHeight="1">
      <c r="C95" s="1"/>
      <c r="F95" s="1"/>
      <c r="H95" s="3"/>
    </row>
    <row r="96" ht="14.25" customHeight="1">
      <c r="C96" s="1"/>
      <c r="F96" s="1"/>
      <c r="H96" s="3"/>
    </row>
    <row r="97" ht="14.25" customHeight="1">
      <c r="C97" s="1"/>
      <c r="F97" s="1"/>
      <c r="H97" s="3"/>
    </row>
    <row r="98" ht="14.25" customHeight="1">
      <c r="C98" s="1"/>
      <c r="F98" s="1"/>
      <c r="H98" s="3"/>
    </row>
    <row r="99" ht="14.25" customHeight="1">
      <c r="C99" s="1"/>
      <c r="F99" s="1"/>
      <c r="H99" s="3"/>
    </row>
    <row r="100" ht="14.25" customHeight="1">
      <c r="C100" s="1"/>
      <c r="F100" s="1"/>
      <c r="H100" s="3"/>
    </row>
    <row r="101" ht="14.25" customHeight="1">
      <c r="C101" s="1"/>
      <c r="F101" s="1"/>
      <c r="H101" s="3"/>
    </row>
    <row r="102" ht="14.25" customHeight="1">
      <c r="C102" s="1"/>
      <c r="F102" s="1"/>
      <c r="H102" s="3"/>
    </row>
    <row r="103" ht="14.25" customHeight="1">
      <c r="C103" s="1"/>
      <c r="F103" s="1"/>
      <c r="H103" s="3"/>
    </row>
    <row r="104" ht="14.25" customHeight="1">
      <c r="C104" s="1"/>
      <c r="F104" s="1"/>
      <c r="H104" s="3"/>
    </row>
    <row r="105" ht="14.25" customHeight="1">
      <c r="C105" s="1"/>
      <c r="F105" s="1"/>
      <c r="H105" s="3"/>
    </row>
    <row r="106" ht="14.25" customHeight="1">
      <c r="C106" s="1"/>
      <c r="F106" s="1"/>
      <c r="H106" s="3"/>
    </row>
    <row r="107" ht="14.25" customHeight="1">
      <c r="C107" s="1"/>
      <c r="F107" s="1"/>
      <c r="H107" s="3"/>
    </row>
    <row r="108" ht="14.25" customHeight="1">
      <c r="C108" s="1"/>
      <c r="F108" s="1"/>
      <c r="H108" s="3"/>
    </row>
    <row r="109" ht="14.25" customHeight="1">
      <c r="C109" s="1"/>
      <c r="F109" s="1"/>
      <c r="H109" s="3"/>
    </row>
    <row r="110" ht="14.25" customHeight="1">
      <c r="C110" s="1"/>
      <c r="F110" s="1"/>
      <c r="H110" s="3"/>
    </row>
    <row r="111" ht="14.25" customHeight="1">
      <c r="C111" s="1"/>
      <c r="F111" s="1"/>
      <c r="H111" s="3"/>
    </row>
    <row r="112" ht="14.25" customHeight="1">
      <c r="C112" s="1"/>
      <c r="F112" s="1"/>
      <c r="H112" s="3"/>
    </row>
    <row r="113" ht="14.25" customHeight="1">
      <c r="C113" s="1"/>
      <c r="F113" s="1"/>
      <c r="H113" s="3"/>
    </row>
    <row r="114" ht="14.25" customHeight="1">
      <c r="C114" s="1"/>
      <c r="F114" s="1"/>
      <c r="H114" s="3"/>
    </row>
    <row r="115" ht="14.25" customHeight="1">
      <c r="C115" s="1"/>
      <c r="F115" s="1"/>
      <c r="H115" s="3"/>
    </row>
    <row r="116" ht="14.25" customHeight="1">
      <c r="C116" s="1"/>
      <c r="F116" s="1"/>
      <c r="H116" s="3"/>
    </row>
    <row r="117" ht="14.25" customHeight="1">
      <c r="C117" s="1"/>
      <c r="F117" s="1"/>
      <c r="H117" s="3"/>
    </row>
    <row r="118" ht="14.25" customHeight="1">
      <c r="C118" s="1"/>
      <c r="F118" s="1"/>
      <c r="H118" s="3"/>
    </row>
    <row r="119" ht="14.25" customHeight="1">
      <c r="C119" s="1"/>
      <c r="F119" s="1"/>
      <c r="H119" s="3"/>
    </row>
    <row r="120" ht="14.25" customHeight="1">
      <c r="C120" s="1"/>
      <c r="F120" s="1"/>
      <c r="H120" s="3"/>
    </row>
    <row r="121" ht="14.25" customHeight="1">
      <c r="C121" s="1"/>
      <c r="F121" s="1"/>
      <c r="H121" s="3"/>
    </row>
    <row r="122" ht="14.25" customHeight="1">
      <c r="C122" s="1"/>
      <c r="F122" s="1"/>
      <c r="H122" s="3"/>
    </row>
    <row r="123" ht="14.25" customHeight="1">
      <c r="C123" s="1"/>
      <c r="F123" s="1"/>
      <c r="H123" s="3"/>
    </row>
    <row r="124" ht="14.25" customHeight="1">
      <c r="C124" s="1"/>
      <c r="F124" s="1"/>
      <c r="H124" s="3"/>
    </row>
    <row r="125" ht="14.25" customHeight="1">
      <c r="C125" s="1"/>
      <c r="F125" s="1"/>
      <c r="H125" s="3"/>
    </row>
    <row r="126" ht="14.25" customHeight="1">
      <c r="C126" s="1"/>
      <c r="F126" s="1"/>
      <c r="H126" s="3"/>
    </row>
    <row r="127" ht="14.25" customHeight="1">
      <c r="C127" s="1"/>
      <c r="F127" s="1"/>
      <c r="H127" s="3"/>
    </row>
    <row r="128" ht="14.25" customHeight="1">
      <c r="C128" s="1"/>
      <c r="F128" s="1"/>
      <c r="H128" s="3"/>
    </row>
    <row r="129" ht="14.25" customHeight="1">
      <c r="C129" s="1"/>
      <c r="F129" s="1"/>
      <c r="H129" s="3"/>
    </row>
    <row r="130" ht="14.25" customHeight="1">
      <c r="C130" s="1"/>
      <c r="F130" s="1"/>
      <c r="H130" s="3"/>
    </row>
    <row r="131" ht="14.25" customHeight="1">
      <c r="C131" s="1"/>
      <c r="F131" s="1"/>
      <c r="H131" s="3"/>
    </row>
    <row r="132" ht="14.25" customHeight="1">
      <c r="C132" s="1"/>
      <c r="F132" s="1"/>
      <c r="H132" s="3"/>
    </row>
    <row r="133" ht="14.25" customHeight="1">
      <c r="C133" s="1"/>
      <c r="F133" s="1"/>
      <c r="H133" s="3"/>
    </row>
    <row r="134" ht="14.25" customHeight="1">
      <c r="C134" s="1"/>
      <c r="F134" s="1"/>
      <c r="H134" s="3"/>
    </row>
    <row r="135" ht="14.25" customHeight="1">
      <c r="C135" s="1"/>
      <c r="F135" s="1"/>
      <c r="H135" s="3"/>
    </row>
    <row r="136" ht="14.25" customHeight="1">
      <c r="C136" s="1"/>
      <c r="F136" s="1"/>
      <c r="H136" s="3"/>
    </row>
    <row r="137" ht="14.25" customHeight="1">
      <c r="C137" s="1"/>
      <c r="F137" s="1"/>
      <c r="H137" s="3"/>
    </row>
    <row r="138" ht="14.25" customHeight="1">
      <c r="C138" s="1"/>
      <c r="F138" s="1"/>
      <c r="H138" s="3"/>
    </row>
    <row r="139" ht="14.25" customHeight="1">
      <c r="C139" s="1"/>
      <c r="F139" s="1"/>
      <c r="H139" s="3"/>
    </row>
    <row r="140" ht="14.25" customHeight="1">
      <c r="C140" s="1"/>
      <c r="F140" s="1"/>
      <c r="H140" s="3"/>
    </row>
    <row r="141" ht="14.25" customHeight="1">
      <c r="C141" s="1"/>
      <c r="F141" s="1"/>
      <c r="H141" s="3"/>
    </row>
    <row r="142" ht="14.25" customHeight="1">
      <c r="C142" s="1"/>
      <c r="F142" s="1"/>
      <c r="H142" s="3"/>
    </row>
    <row r="143" ht="14.25" customHeight="1">
      <c r="C143" s="1"/>
      <c r="F143" s="1"/>
      <c r="H143" s="3"/>
    </row>
    <row r="144" ht="14.25" customHeight="1">
      <c r="C144" s="1"/>
      <c r="F144" s="1"/>
      <c r="H144" s="3"/>
    </row>
    <row r="145" ht="14.25" customHeight="1">
      <c r="C145" s="1"/>
      <c r="F145" s="1"/>
      <c r="H145" s="3"/>
    </row>
    <row r="146" ht="14.25" customHeight="1">
      <c r="C146" s="1"/>
      <c r="F146" s="1"/>
      <c r="H146" s="3"/>
    </row>
    <row r="147" ht="14.25" customHeight="1">
      <c r="C147" s="1"/>
      <c r="F147" s="1"/>
      <c r="H147" s="3"/>
    </row>
    <row r="148" ht="14.25" customHeight="1">
      <c r="C148" s="1"/>
      <c r="F148" s="1"/>
      <c r="H148" s="3"/>
    </row>
    <row r="149" ht="14.25" customHeight="1">
      <c r="C149" s="1"/>
      <c r="F149" s="1"/>
      <c r="H149" s="3"/>
    </row>
    <row r="150" ht="14.25" customHeight="1">
      <c r="C150" s="1"/>
      <c r="F150" s="1"/>
      <c r="H150" s="3"/>
    </row>
    <row r="151" ht="14.25" customHeight="1">
      <c r="C151" s="1"/>
      <c r="F151" s="1"/>
      <c r="H151" s="3"/>
    </row>
    <row r="152" ht="14.25" customHeight="1">
      <c r="C152" s="1"/>
      <c r="F152" s="1"/>
      <c r="H152" s="3"/>
    </row>
    <row r="153" ht="14.25" customHeight="1">
      <c r="C153" s="1"/>
      <c r="F153" s="1"/>
      <c r="H153" s="3"/>
    </row>
    <row r="154" ht="14.25" customHeight="1">
      <c r="C154" s="1"/>
      <c r="F154" s="1"/>
      <c r="H154" s="3"/>
    </row>
    <row r="155" ht="14.25" customHeight="1">
      <c r="C155" s="1"/>
      <c r="F155" s="1"/>
      <c r="H155" s="3"/>
    </row>
    <row r="156" ht="14.25" customHeight="1">
      <c r="C156" s="1"/>
      <c r="F156" s="1"/>
      <c r="H156" s="3"/>
    </row>
    <row r="157" ht="14.25" customHeight="1">
      <c r="C157" s="1"/>
      <c r="F157" s="1"/>
      <c r="H157" s="3"/>
    </row>
    <row r="158" ht="14.25" customHeight="1">
      <c r="C158" s="1"/>
      <c r="F158" s="1"/>
      <c r="H158" s="3"/>
    </row>
    <row r="159" ht="14.25" customHeight="1">
      <c r="C159" s="1"/>
      <c r="F159" s="1"/>
      <c r="H159" s="3"/>
    </row>
    <row r="160" ht="14.25" customHeight="1">
      <c r="C160" s="1"/>
      <c r="F160" s="1"/>
      <c r="H160" s="3"/>
    </row>
    <row r="161" ht="14.25" customHeight="1">
      <c r="C161" s="1"/>
      <c r="F161" s="1"/>
      <c r="H161" s="3"/>
    </row>
    <row r="162" ht="14.25" customHeight="1">
      <c r="C162" s="1"/>
      <c r="F162" s="1"/>
      <c r="H162" s="3"/>
    </row>
    <row r="163" ht="14.25" customHeight="1">
      <c r="C163" s="1"/>
      <c r="F163" s="1"/>
      <c r="H163" s="3"/>
    </row>
    <row r="164" ht="14.25" customHeight="1">
      <c r="C164" s="1"/>
      <c r="F164" s="1"/>
      <c r="H164" s="3"/>
    </row>
    <row r="165" ht="14.25" customHeight="1">
      <c r="C165" s="1"/>
      <c r="F165" s="1"/>
      <c r="H165" s="3"/>
    </row>
    <row r="166" ht="14.25" customHeight="1">
      <c r="C166" s="1"/>
      <c r="F166" s="1"/>
      <c r="H166" s="3"/>
    </row>
    <row r="167" ht="14.25" customHeight="1">
      <c r="C167" s="1"/>
      <c r="F167" s="1"/>
      <c r="H167" s="3"/>
    </row>
    <row r="168" ht="14.25" customHeight="1">
      <c r="C168" s="1"/>
      <c r="F168" s="1"/>
      <c r="H168" s="3"/>
    </row>
    <row r="169" ht="14.25" customHeight="1">
      <c r="C169" s="1"/>
      <c r="F169" s="1"/>
      <c r="H169" s="3"/>
    </row>
    <row r="170" ht="14.25" customHeight="1">
      <c r="C170" s="1"/>
      <c r="F170" s="1"/>
      <c r="H170" s="3"/>
    </row>
    <row r="171" ht="14.25" customHeight="1">
      <c r="C171" s="1"/>
      <c r="F171" s="1"/>
      <c r="H171" s="3"/>
    </row>
    <row r="172" ht="14.25" customHeight="1">
      <c r="C172" s="1"/>
      <c r="F172" s="1"/>
      <c r="H172" s="3"/>
    </row>
    <row r="173" ht="14.25" customHeight="1">
      <c r="C173" s="1"/>
      <c r="F173" s="1"/>
      <c r="H173" s="3"/>
    </row>
    <row r="174" ht="14.25" customHeight="1">
      <c r="C174" s="1"/>
      <c r="F174" s="1"/>
      <c r="H174" s="3"/>
    </row>
    <row r="175" ht="14.25" customHeight="1">
      <c r="C175" s="1"/>
      <c r="F175" s="1"/>
      <c r="H175" s="3"/>
    </row>
    <row r="176" ht="14.25" customHeight="1">
      <c r="C176" s="1"/>
      <c r="F176" s="1"/>
      <c r="H176" s="3"/>
    </row>
    <row r="177" ht="14.25" customHeight="1">
      <c r="C177" s="1"/>
      <c r="F177" s="1"/>
      <c r="H177" s="3"/>
    </row>
    <row r="178" ht="14.25" customHeight="1">
      <c r="C178" s="1"/>
      <c r="F178" s="1"/>
      <c r="H178" s="3"/>
    </row>
    <row r="179" ht="14.25" customHeight="1">
      <c r="C179" s="1"/>
      <c r="F179" s="1"/>
      <c r="H179" s="3"/>
    </row>
    <row r="180" ht="14.25" customHeight="1">
      <c r="C180" s="1"/>
      <c r="F180" s="1"/>
      <c r="H180" s="3"/>
    </row>
    <row r="181" ht="14.25" customHeight="1">
      <c r="C181" s="1"/>
      <c r="F181" s="1"/>
      <c r="H181" s="3"/>
    </row>
    <row r="182" ht="14.25" customHeight="1">
      <c r="C182" s="1"/>
      <c r="F182" s="1"/>
      <c r="H182" s="3"/>
    </row>
    <row r="183" ht="14.25" customHeight="1">
      <c r="C183" s="1"/>
      <c r="F183" s="1"/>
      <c r="H183" s="3"/>
    </row>
    <row r="184" ht="14.25" customHeight="1">
      <c r="C184" s="1"/>
      <c r="F184" s="1"/>
      <c r="H184" s="3"/>
    </row>
    <row r="185" ht="14.25" customHeight="1">
      <c r="C185" s="1"/>
      <c r="F185" s="1"/>
      <c r="H185" s="3"/>
    </row>
    <row r="186" ht="14.25" customHeight="1">
      <c r="C186" s="1"/>
      <c r="F186" s="1"/>
      <c r="H186" s="3"/>
    </row>
    <row r="187" ht="14.25" customHeight="1">
      <c r="C187" s="1"/>
      <c r="F187" s="1"/>
      <c r="H187" s="3"/>
    </row>
    <row r="188" ht="14.25" customHeight="1">
      <c r="C188" s="1"/>
      <c r="F188" s="1"/>
      <c r="H188" s="3"/>
    </row>
    <row r="189" ht="14.25" customHeight="1">
      <c r="C189" s="1"/>
      <c r="F189" s="1"/>
      <c r="H189" s="3"/>
    </row>
    <row r="190" ht="14.25" customHeight="1">
      <c r="C190" s="1"/>
      <c r="F190" s="1"/>
      <c r="H190" s="3"/>
    </row>
    <row r="191" ht="14.25" customHeight="1">
      <c r="C191" s="1"/>
      <c r="F191" s="1"/>
      <c r="H191" s="3"/>
    </row>
    <row r="192" ht="14.25" customHeight="1">
      <c r="C192" s="1"/>
      <c r="F192" s="1"/>
      <c r="H192" s="3"/>
    </row>
    <row r="193" ht="14.25" customHeight="1">
      <c r="C193" s="1"/>
      <c r="F193" s="1"/>
      <c r="H193" s="3"/>
    </row>
    <row r="194" ht="14.25" customHeight="1">
      <c r="C194" s="1"/>
      <c r="F194" s="1"/>
      <c r="H194" s="3"/>
    </row>
    <row r="195" ht="14.25" customHeight="1">
      <c r="C195" s="1"/>
      <c r="F195" s="1"/>
      <c r="H195" s="3"/>
    </row>
    <row r="196" ht="14.25" customHeight="1">
      <c r="C196" s="1"/>
      <c r="F196" s="1"/>
      <c r="H196" s="3"/>
    </row>
    <row r="197" ht="14.25" customHeight="1">
      <c r="C197" s="1"/>
      <c r="F197" s="1"/>
      <c r="H197" s="3"/>
    </row>
    <row r="198" ht="14.25" customHeight="1">
      <c r="C198" s="1"/>
      <c r="F198" s="1"/>
      <c r="H198" s="3"/>
    </row>
    <row r="199" ht="14.25" customHeight="1">
      <c r="C199" s="1"/>
      <c r="F199" s="1"/>
      <c r="H199" s="3"/>
    </row>
    <row r="200" ht="14.25" customHeight="1">
      <c r="C200" s="1"/>
      <c r="F200" s="1"/>
      <c r="H200" s="3"/>
    </row>
    <row r="201" ht="14.25" customHeight="1">
      <c r="C201" s="1"/>
      <c r="F201" s="1"/>
      <c r="H201" s="3"/>
    </row>
    <row r="202" ht="14.25" customHeight="1">
      <c r="C202" s="1"/>
      <c r="F202" s="1"/>
      <c r="H202" s="3"/>
    </row>
    <row r="203" ht="14.25" customHeight="1">
      <c r="C203" s="1"/>
      <c r="F203" s="1"/>
      <c r="H203" s="3"/>
    </row>
    <row r="204" ht="14.25" customHeight="1">
      <c r="C204" s="1"/>
      <c r="F204" s="1"/>
      <c r="H204" s="3"/>
    </row>
    <row r="205" ht="14.25" customHeight="1">
      <c r="C205" s="1"/>
      <c r="F205" s="1"/>
      <c r="H205" s="3"/>
    </row>
    <row r="206" ht="14.25" customHeight="1">
      <c r="C206" s="1"/>
      <c r="F206" s="1"/>
      <c r="H206" s="3"/>
    </row>
    <row r="207" ht="14.25" customHeight="1">
      <c r="C207" s="1"/>
      <c r="F207" s="1"/>
      <c r="H207" s="3"/>
    </row>
    <row r="208" ht="14.25" customHeight="1">
      <c r="C208" s="1"/>
      <c r="F208" s="1"/>
      <c r="H208" s="3"/>
    </row>
    <row r="209" ht="14.25" customHeight="1">
      <c r="C209" s="1"/>
      <c r="F209" s="1"/>
      <c r="H209" s="3"/>
    </row>
    <row r="210" ht="14.25" customHeight="1">
      <c r="C210" s="1"/>
      <c r="F210" s="1"/>
      <c r="H210" s="3"/>
    </row>
    <row r="211" ht="14.25" customHeight="1">
      <c r="C211" s="1"/>
      <c r="F211" s="1"/>
      <c r="H211" s="3"/>
    </row>
    <row r="212" ht="14.25" customHeight="1">
      <c r="C212" s="1"/>
      <c r="F212" s="1"/>
      <c r="H212" s="3"/>
    </row>
    <row r="213" ht="14.25" customHeight="1">
      <c r="C213" s="1"/>
      <c r="F213" s="1"/>
      <c r="H213" s="3"/>
    </row>
    <row r="214" ht="14.25" customHeight="1">
      <c r="C214" s="1"/>
      <c r="F214" s="1"/>
      <c r="H214" s="3"/>
    </row>
    <row r="215" ht="14.25" customHeight="1">
      <c r="C215" s="1"/>
      <c r="F215" s="1"/>
      <c r="H215" s="3"/>
    </row>
    <row r="216" ht="14.25" customHeight="1">
      <c r="C216" s="1"/>
      <c r="F216" s="1"/>
      <c r="H216" s="3"/>
    </row>
    <row r="217" ht="14.25" customHeight="1">
      <c r="C217" s="1"/>
      <c r="F217" s="1"/>
      <c r="H217" s="3"/>
    </row>
    <row r="218" ht="14.25" customHeight="1">
      <c r="C218" s="1"/>
      <c r="F218" s="1"/>
      <c r="H218" s="3"/>
    </row>
    <row r="219" ht="14.25" customHeight="1">
      <c r="C219" s="1"/>
      <c r="F219" s="1"/>
      <c r="H219" s="3"/>
    </row>
    <row r="220" ht="14.25" customHeight="1">
      <c r="C220" s="1"/>
      <c r="F220" s="1"/>
      <c r="H220" s="3"/>
    </row>
    <row r="221" ht="14.25" customHeight="1">
      <c r="C221" s="1"/>
      <c r="F221" s="1"/>
      <c r="H221" s="3"/>
    </row>
    <row r="222" ht="14.25" customHeight="1">
      <c r="C222" s="1"/>
      <c r="F222" s="1"/>
      <c r="H222" s="3"/>
    </row>
    <row r="223" ht="14.25" customHeight="1">
      <c r="C223" s="1"/>
      <c r="F223" s="1"/>
      <c r="H223" s="3"/>
    </row>
    <row r="224" ht="14.25" customHeight="1">
      <c r="C224" s="1"/>
      <c r="F224" s="1"/>
      <c r="H224" s="3"/>
    </row>
    <row r="225" ht="14.25" customHeight="1">
      <c r="C225" s="1"/>
      <c r="F225" s="1"/>
      <c r="H225" s="3"/>
    </row>
    <row r="226" ht="14.25" customHeight="1">
      <c r="C226" s="1"/>
      <c r="F226" s="1"/>
      <c r="H226" s="3"/>
    </row>
    <row r="227" ht="14.25" customHeight="1">
      <c r="C227" s="1"/>
      <c r="F227" s="1"/>
      <c r="H227" s="3"/>
    </row>
    <row r="228" ht="14.25" customHeight="1">
      <c r="C228" s="1"/>
      <c r="F228" s="1"/>
      <c r="H228" s="3"/>
    </row>
    <row r="229" ht="14.25" customHeight="1">
      <c r="C229" s="1"/>
      <c r="F229" s="1"/>
      <c r="H229" s="3"/>
    </row>
    <row r="230" ht="14.25" customHeight="1">
      <c r="C230" s="1"/>
      <c r="F230" s="1"/>
      <c r="H230" s="3"/>
    </row>
    <row r="231" ht="14.25" customHeight="1">
      <c r="C231" s="1"/>
      <c r="F231" s="1"/>
      <c r="H231" s="3"/>
    </row>
    <row r="232" ht="14.25" customHeight="1">
      <c r="C232" s="1"/>
      <c r="F232" s="1"/>
      <c r="H232" s="3"/>
    </row>
    <row r="233" ht="14.25" customHeight="1">
      <c r="C233" s="1"/>
      <c r="F233" s="1"/>
      <c r="H233" s="3"/>
    </row>
    <row r="234" ht="14.25" customHeight="1">
      <c r="C234" s="1"/>
      <c r="F234" s="1"/>
      <c r="H234" s="3"/>
    </row>
    <row r="235" ht="14.25" customHeight="1">
      <c r="C235" s="1"/>
      <c r="F235" s="1"/>
      <c r="H235" s="3"/>
    </row>
    <row r="236" ht="14.25" customHeight="1">
      <c r="C236" s="1"/>
      <c r="F236" s="1"/>
      <c r="H236" s="3"/>
    </row>
    <row r="237" ht="14.25" customHeight="1">
      <c r="C237" s="1"/>
      <c r="F237" s="1"/>
      <c r="H237" s="3"/>
    </row>
    <row r="238" ht="14.25" customHeight="1">
      <c r="C238" s="1"/>
      <c r="F238" s="1"/>
      <c r="H238" s="3"/>
    </row>
    <row r="239" ht="14.25" customHeight="1">
      <c r="C239" s="1"/>
      <c r="F239" s="1"/>
      <c r="H239" s="3"/>
    </row>
    <row r="240" ht="14.25" customHeight="1">
      <c r="C240" s="1"/>
      <c r="F240" s="1"/>
      <c r="H240" s="3"/>
    </row>
    <row r="241" ht="14.25" customHeight="1">
      <c r="C241" s="1"/>
      <c r="F241" s="1"/>
      <c r="H241" s="3"/>
    </row>
    <row r="242" ht="14.25" customHeight="1">
      <c r="C242" s="1"/>
      <c r="F242" s="1"/>
      <c r="H242" s="3"/>
    </row>
    <row r="243" ht="14.25" customHeight="1">
      <c r="C243" s="1"/>
      <c r="F243" s="1"/>
      <c r="H243" s="3"/>
    </row>
    <row r="244" ht="14.25" customHeight="1">
      <c r="C244" s="1"/>
      <c r="F244" s="1"/>
      <c r="H244" s="3"/>
    </row>
    <row r="245" ht="14.25" customHeight="1">
      <c r="C245" s="1"/>
      <c r="F245" s="1"/>
      <c r="H245" s="3"/>
    </row>
    <row r="246" ht="14.25" customHeight="1">
      <c r="C246" s="1"/>
      <c r="F246" s="1"/>
      <c r="H246" s="3"/>
    </row>
    <row r="247" ht="14.25" customHeight="1">
      <c r="C247" s="1"/>
      <c r="F247" s="1"/>
      <c r="H247" s="3"/>
    </row>
    <row r="248" ht="14.25" customHeight="1">
      <c r="C248" s="1"/>
      <c r="F248" s="1"/>
      <c r="H248" s="3"/>
    </row>
    <row r="249" ht="14.25" customHeight="1">
      <c r="C249" s="1"/>
      <c r="F249" s="1"/>
      <c r="H249" s="3"/>
    </row>
    <row r="250" ht="14.25" customHeight="1">
      <c r="C250" s="1"/>
      <c r="F250" s="1"/>
      <c r="H250" s="3"/>
    </row>
    <row r="251" ht="14.25" customHeight="1">
      <c r="C251" s="1"/>
      <c r="F251" s="1"/>
      <c r="H251" s="3"/>
    </row>
    <row r="252" ht="14.25" customHeight="1">
      <c r="C252" s="1"/>
      <c r="F252" s="1"/>
      <c r="H252" s="3"/>
    </row>
    <row r="253" ht="14.25" customHeight="1">
      <c r="C253" s="1"/>
      <c r="F253" s="1"/>
      <c r="H253" s="3"/>
    </row>
    <row r="254" ht="14.25" customHeight="1">
      <c r="C254" s="1"/>
      <c r="F254" s="1"/>
      <c r="H254" s="3"/>
    </row>
    <row r="255" ht="14.25" customHeight="1">
      <c r="C255" s="1"/>
      <c r="F255" s="1"/>
      <c r="H255" s="3"/>
    </row>
    <row r="256" ht="14.25" customHeight="1">
      <c r="C256" s="1"/>
      <c r="F256" s="1"/>
      <c r="H256" s="3"/>
    </row>
    <row r="257" ht="14.25" customHeight="1">
      <c r="C257" s="1"/>
      <c r="F257" s="1"/>
      <c r="H257" s="3"/>
    </row>
    <row r="258" ht="14.25" customHeight="1">
      <c r="C258" s="1"/>
      <c r="F258" s="1"/>
      <c r="H258" s="3"/>
    </row>
    <row r="259" ht="14.25" customHeight="1">
      <c r="C259" s="1"/>
      <c r="F259" s="1"/>
      <c r="H259" s="3"/>
    </row>
    <row r="260" ht="14.25" customHeight="1">
      <c r="C260" s="1"/>
      <c r="F260" s="1"/>
      <c r="H260" s="3"/>
    </row>
    <row r="261" ht="14.25" customHeight="1">
      <c r="C261" s="1"/>
      <c r="F261" s="1"/>
      <c r="H261" s="3"/>
    </row>
    <row r="262" ht="14.25" customHeight="1">
      <c r="C262" s="1"/>
      <c r="F262" s="1"/>
      <c r="H262" s="3"/>
    </row>
    <row r="263" ht="14.25" customHeight="1">
      <c r="C263" s="1"/>
      <c r="F263" s="1"/>
      <c r="H263" s="3"/>
    </row>
    <row r="264" ht="14.25" customHeight="1">
      <c r="C264" s="1"/>
      <c r="F264" s="1"/>
      <c r="H264" s="3"/>
    </row>
    <row r="265" ht="14.25" customHeight="1">
      <c r="C265" s="1"/>
      <c r="F265" s="1"/>
      <c r="H265" s="3"/>
    </row>
    <row r="266" ht="14.25" customHeight="1">
      <c r="C266" s="1"/>
      <c r="F266" s="1"/>
      <c r="H266" s="3"/>
    </row>
    <row r="267" ht="14.25" customHeight="1">
      <c r="C267" s="1"/>
      <c r="F267" s="1"/>
      <c r="H267" s="3"/>
    </row>
    <row r="268" ht="14.25" customHeight="1">
      <c r="C268" s="1"/>
      <c r="F268" s="1"/>
      <c r="H268" s="3"/>
    </row>
    <row r="269" ht="14.25" customHeight="1">
      <c r="C269" s="1"/>
      <c r="F269" s="1"/>
      <c r="H269" s="3"/>
    </row>
    <row r="270" ht="14.25" customHeight="1">
      <c r="C270" s="1"/>
      <c r="F270" s="1"/>
      <c r="H270" s="3"/>
    </row>
    <row r="271" ht="14.25" customHeight="1">
      <c r="C271" s="1"/>
      <c r="F271" s="1"/>
      <c r="H271" s="3"/>
    </row>
    <row r="272" ht="14.25" customHeight="1">
      <c r="C272" s="1"/>
      <c r="F272" s="1"/>
      <c r="H272" s="3"/>
    </row>
    <row r="273" ht="14.25" customHeight="1">
      <c r="C273" s="1"/>
      <c r="F273" s="1"/>
      <c r="H273" s="3"/>
    </row>
    <row r="274" ht="14.25" customHeight="1">
      <c r="C274" s="1"/>
      <c r="F274" s="1"/>
      <c r="H274" s="3"/>
    </row>
    <row r="275" ht="14.25" customHeight="1">
      <c r="C275" s="1"/>
      <c r="F275" s="1"/>
      <c r="H275" s="3"/>
    </row>
    <row r="276" ht="14.25" customHeight="1">
      <c r="C276" s="1"/>
      <c r="F276" s="1"/>
      <c r="H276" s="3"/>
    </row>
    <row r="277" ht="14.25" customHeight="1">
      <c r="C277" s="1"/>
      <c r="F277" s="1"/>
      <c r="H277" s="3"/>
    </row>
    <row r="278" ht="14.25" customHeight="1">
      <c r="C278" s="1"/>
      <c r="F278" s="1"/>
      <c r="H278" s="3"/>
    </row>
    <row r="279" ht="14.25" customHeight="1">
      <c r="C279" s="1"/>
      <c r="F279" s="1"/>
      <c r="H279" s="3"/>
    </row>
    <row r="280" ht="14.25" customHeight="1">
      <c r="C280" s="1"/>
      <c r="F280" s="1"/>
      <c r="H280" s="3"/>
    </row>
    <row r="281" ht="14.25" customHeight="1">
      <c r="C281" s="1"/>
      <c r="F281" s="1"/>
      <c r="H281" s="3"/>
    </row>
    <row r="282" ht="14.25" customHeight="1">
      <c r="C282" s="1"/>
      <c r="F282" s="1"/>
      <c r="H282" s="3"/>
    </row>
    <row r="283" ht="14.25" customHeight="1">
      <c r="C283" s="1"/>
      <c r="F283" s="1"/>
      <c r="H283" s="3"/>
    </row>
    <row r="284" ht="14.25" customHeight="1">
      <c r="C284" s="1"/>
      <c r="F284" s="1"/>
      <c r="H284" s="3"/>
    </row>
    <row r="285" ht="14.25" customHeight="1">
      <c r="C285" s="1"/>
      <c r="F285" s="1"/>
      <c r="H285" s="3"/>
    </row>
    <row r="286" ht="14.25" customHeight="1">
      <c r="C286" s="1"/>
      <c r="F286" s="1"/>
      <c r="H286" s="3"/>
    </row>
    <row r="287" ht="14.25" customHeight="1">
      <c r="C287" s="1"/>
      <c r="F287" s="1"/>
      <c r="H287" s="3"/>
    </row>
    <row r="288" ht="14.25" customHeight="1">
      <c r="C288" s="1"/>
      <c r="F288" s="1"/>
      <c r="H288" s="3"/>
    </row>
    <row r="289" ht="14.25" customHeight="1">
      <c r="C289" s="1"/>
      <c r="F289" s="1"/>
      <c r="H289" s="3"/>
    </row>
    <row r="290" ht="14.25" customHeight="1">
      <c r="C290" s="1"/>
      <c r="F290" s="1"/>
      <c r="H290" s="3"/>
    </row>
    <row r="291" ht="14.25" customHeight="1">
      <c r="C291" s="1"/>
      <c r="F291" s="1"/>
      <c r="H291" s="3"/>
    </row>
    <row r="292" ht="14.25" customHeight="1">
      <c r="C292" s="1"/>
      <c r="F292" s="1"/>
      <c r="H292" s="3"/>
    </row>
    <row r="293" ht="14.25" customHeight="1">
      <c r="C293" s="1"/>
      <c r="F293" s="1"/>
      <c r="H293" s="3"/>
    </row>
    <row r="294" ht="14.25" customHeight="1">
      <c r="C294" s="1"/>
      <c r="F294" s="1"/>
      <c r="H294" s="3"/>
    </row>
    <row r="295" ht="14.25" customHeight="1">
      <c r="C295" s="1"/>
      <c r="F295" s="1"/>
      <c r="H295" s="3"/>
    </row>
    <row r="296" ht="14.25" customHeight="1">
      <c r="C296" s="1"/>
      <c r="F296" s="1"/>
      <c r="H296" s="3"/>
    </row>
    <row r="297" ht="14.25" customHeight="1">
      <c r="C297" s="1"/>
      <c r="F297" s="1"/>
      <c r="H297" s="3"/>
    </row>
    <row r="298" ht="14.25" customHeight="1">
      <c r="C298" s="1"/>
      <c r="F298" s="1"/>
      <c r="H298" s="3"/>
    </row>
    <row r="299" ht="14.25" customHeight="1">
      <c r="C299" s="1"/>
      <c r="F299" s="1"/>
      <c r="H299" s="3"/>
    </row>
    <row r="300" ht="14.25" customHeight="1">
      <c r="C300" s="1"/>
      <c r="F300" s="1"/>
      <c r="H300" s="3"/>
    </row>
    <row r="301" ht="14.25" customHeight="1">
      <c r="C301" s="1"/>
      <c r="F301" s="1"/>
      <c r="H301" s="3"/>
    </row>
    <row r="302" ht="14.25" customHeight="1">
      <c r="C302" s="1"/>
      <c r="F302" s="1"/>
      <c r="H302" s="3"/>
    </row>
    <row r="303" ht="14.25" customHeight="1">
      <c r="C303" s="1"/>
      <c r="F303" s="1"/>
      <c r="H303" s="3"/>
    </row>
    <row r="304" ht="14.25" customHeight="1">
      <c r="C304" s="1"/>
      <c r="F304" s="1"/>
      <c r="H304" s="3"/>
    </row>
    <row r="305" ht="14.25" customHeight="1">
      <c r="C305" s="1"/>
      <c r="F305" s="1"/>
      <c r="H305" s="3"/>
    </row>
    <row r="306" ht="14.25" customHeight="1">
      <c r="C306" s="1"/>
      <c r="F306" s="1"/>
      <c r="H306" s="3"/>
    </row>
    <row r="307" ht="14.25" customHeight="1">
      <c r="C307" s="1"/>
      <c r="F307" s="1"/>
      <c r="H307" s="3"/>
    </row>
    <row r="308" ht="14.25" customHeight="1">
      <c r="C308" s="1"/>
      <c r="F308" s="1"/>
      <c r="H308" s="3"/>
    </row>
    <row r="309" ht="14.25" customHeight="1">
      <c r="C309" s="1"/>
      <c r="F309" s="1"/>
      <c r="H309" s="3"/>
    </row>
    <row r="310" ht="14.25" customHeight="1">
      <c r="C310" s="1"/>
      <c r="F310" s="1"/>
      <c r="H310" s="3"/>
    </row>
    <row r="311" ht="14.25" customHeight="1">
      <c r="C311" s="1"/>
      <c r="F311" s="1"/>
      <c r="H311" s="3"/>
    </row>
    <row r="312" ht="14.25" customHeight="1">
      <c r="C312" s="1"/>
      <c r="F312" s="1"/>
      <c r="H312" s="3"/>
    </row>
    <row r="313" ht="14.25" customHeight="1">
      <c r="C313" s="1"/>
      <c r="F313" s="1"/>
      <c r="H313" s="3"/>
    </row>
    <row r="314" ht="14.25" customHeight="1">
      <c r="C314" s="1"/>
      <c r="F314" s="1"/>
      <c r="H314" s="3"/>
    </row>
    <row r="315" ht="14.25" customHeight="1">
      <c r="C315" s="1"/>
      <c r="F315" s="1"/>
      <c r="H315" s="3"/>
    </row>
    <row r="316" ht="14.25" customHeight="1">
      <c r="C316" s="1"/>
      <c r="F316" s="1"/>
      <c r="H316" s="3"/>
    </row>
    <row r="317" ht="14.25" customHeight="1">
      <c r="C317" s="1"/>
      <c r="F317" s="1"/>
      <c r="H317" s="3"/>
    </row>
    <row r="318" ht="14.25" customHeight="1">
      <c r="C318" s="1"/>
      <c r="F318" s="1"/>
      <c r="H318" s="3"/>
    </row>
    <row r="319" ht="14.25" customHeight="1">
      <c r="C319" s="1"/>
      <c r="F319" s="1"/>
      <c r="H319" s="3"/>
    </row>
    <row r="320" ht="14.25" customHeight="1">
      <c r="C320" s="1"/>
      <c r="F320" s="1"/>
      <c r="H320" s="3"/>
    </row>
    <row r="321" ht="14.25" customHeight="1">
      <c r="C321" s="1"/>
      <c r="F321" s="1"/>
      <c r="H321" s="3"/>
    </row>
    <row r="322" ht="14.25" customHeight="1">
      <c r="C322" s="1"/>
      <c r="F322" s="1"/>
      <c r="H322" s="3"/>
    </row>
    <row r="323" ht="14.25" customHeight="1">
      <c r="C323" s="1"/>
      <c r="F323" s="1"/>
      <c r="H323" s="3"/>
    </row>
    <row r="324" ht="14.25" customHeight="1">
      <c r="C324" s="1"/>
      <c r="F324" s="1"/>
      <c r="H324" s="3"/>
    </row>
    <row r="325" ht="14.25" customHeight="1">
      <c r="C325" s="1"/>
      <c r="F325" s="1"/>
      <c r="H325" s="3"/>
    </row>
    <row r="326" ht="14.25" customHeight="1">
      <c r="C326" s="1"/>
      <c r="F326" s="1"/>
      <c r="H326" s="3"/>
    </row>
    <row r="327" ht="14.25" customHeight="1">
      <c r="C327" s="1"/>
      <c r="F327" s="1"/>
      <c r="H327" s="3"/>
    </row>
    <row r="328" ht="14.25" customHeight="1">
      <c r="C328" s="1"/>
      <c r="F328" s="1"/>
      <c r="H328" s="3"/>
    </row>
    <row r="329" ht="14.25" customHeight="1">
      <c r="C329" s="1"/>
      <c r="F329" s="1"/>
      <c r="H329" s="3"/>
    </row>
    <row r="330" ht="14.25" customHeight="1">
      <c r="C330" s="1"/>
      <c r="F330" s="1"/>
      <c r="H330" s="3"/>
    </row>
    <row r="331" ht="14.25" customHeight="1">
      <c r="C331" s="1"/>
      <c r="F331" s="1"/>
      <c r="H331" s="3"/>
    </row>
    <row r="332" ht="14.25" customHeight="1">
      <c r="C332" s="1"/>
      <c r="F332" s="1"/>
      <c r="H332" s="3"/>
    </row>
    <row r="333" ht="14.25" customHeight="1">
      <c r="C333" s="1"/>
      <c r="F333" s="1"/>
      <c r="H333" s="3"/>
    </row>
    <row r="334" ht="14.25" customHeight="1">
      <c r="C334" s="1"/>
      <c r="F334" s="1"/>
      <c r="H334" s="3"/>
    </row>
    <row r="335" ht="14.25" customHeight="1">
      <c r="C335" s="1"/>
      <c r="F335" s="1"/>
      <c r="H335" s="3"/>
    </row>
    <row r="336" ht="14.25" customHeight="1">
      <c r="C336" s="1"/>
      <c r="F336" s="1"/>
      <c r="H336" s="3"/>
    </row>
    <row r="337" ht="14.25" customHeight="1">
      <c r="C337" s="1"/>
      <c r="F337" s="1"/>
      <c r="H337" s="3"/>
    </row>
    <row r="338" ht="14.25" customHeight="1">
      <c r="C338" s="1"/>
      <c r="F338" s="1"/>
      <c r="H338" s="3"/>
    </row>
    <row r="339" ht="14.25" customHeight="1">
      <c r="C339" s="1"/>
      <c r="F339" s="1"/>
      <c r="H339" s="3"/>
    </row>
    <row r="340" ht="14.25" customHeight="1">
      <c r="C340" s="1"/>
      <c r="F340" s="1"/>
      <c r="H340" s="3"/>
    </row>
    <row r="341" ht="14.25" customHeight="1">
      <c r="C341" s="1"/>
      <c r="F341" s="1"/>
      <c r="H341" s="3"/>
    </row>
    <row r="342" ht="14.25" customHeight="1">
      <c r="C342" s="1"/>
      <c r="F342" s="1"/>
      <c r="H342" s="3"/>
    </row>
    <row r="343" ht="14.25" customHeight="1">
      <c r="C343" s="1"/>
      <c r="F343" s="1"/>
      <c r="H343" s="3"/>
    </row>
    <row r="344" ht="14.25" customHeight="1">
      <c r="C344" s="1"/>
      <c r="F344" s="1"/>
      <c r="H344" s="3"/>
    </row>
    <row r="345" ht="14.25" customHeight="1">
      <c r="C345" s="1"/>
      <c r="F345" s="1"/>
      <c r="H345" s="3"/>
    </row>
    <row r="346" ht="14.25" customHeight="1">
      <c r="C346" s="1"/>
      <c r="F346" s="1"/>
      <c r="H346" s="3"/>
    </row>
    <row r="347" ht="14.25" customHeight="1">
      <c r="C347" s="1"/>
      <c r="F347" s="1"/>
      <c r="H347" s="3"/>
    </row>
    <row r="348" ht="14.25" customHeight="1">
      <c r="C348" s="1"/>
      <c r="F348" s="1"/>
      <c r="H348" s="3"/>
    </row>
    <row r="349" ht="14.25" customHeight="1">
      <c r="C349" s="1"/>
      <c r="F349" s="1"/>
      <c r="H349" s="3"/>
    </row>
    <row r="350" ht="14.25" customHeight="1">
      <c r="C350" s="1"/>
      <c r="F350" s="1"/>
      <c r="H350" s="3"/>
    </row>
    <row r="351" ht="14.25" customHeight="1">
      <c r="C351" s="1"/>
      <c r="F351" s="1"/>
      <c r="H351" s="3"/>
    </row>
    <row r="352" ht="14.25" customHeight="1">
      <c r="C352" s="1"/>
      <c r="F352" s="1"/>
      <c r="H352" s="3"/>
    </row>
    <row r="353" ht="14.25" customHeight="1">
      <c r="C353" s="1"/>
      <c r="F353" s="1"/>
      <c r="H353" s="3"/>
    </row>
    <row r="354" ht="14.25" customHeight="1">
      <c r="C354" s="1"/>
      <c r="F354" s="1"/>
      <c r="H354" s="3"/>
    </row>
    <row r="355" ht="14.25" customHeight="1">
      <c r="C355" s="1"/>
      <c r="F355" s="1"/>
      <c r="H355" s="3"/>
    </row>
    <row r="356" ht="14.25" customHeight="1">
      <c r="C356" s="1"/>
      <c r="F356" s="1"/>
      <c r="H356" s="3"/>
    </row>
    <row r="357" ht="14.25" customHeight="1">
      <c r="C357" s="1"/>
      <c r="F357" s="1"/>
      <c r="H357" s="3"/>
    </row>
    <row r="358" ht="14.25" customHeight="1">
      <c r="C358" s="1"/>
      <c r="F358" s="1"/>
      <c r="H358" s="3"/>
    </row>
    <row r="359" ht="14.25" customHeight="1">
      <c r="C359" s="1"/>
      <c r="F359" s="1"/>
      <c r="H359" s="3"/>
    </row>
    <row r="360" ht="14.25" customHeight="1">
      <c r="C360" s="1"/>
      <c r="F360" s="1"/>
      <c r="H360" s="3"/>
    </row>
    <row r="361" ht="14.25" customHeight="1">
      <c r="C361" s="1"/>
      <c r="F361" s="1"/>
      <c r="H361" s="3"/>
    </row>
    <row r="362" ht="14.25" customHeight="1">
      <c r="C362" s="1"/>
      <c r="F362" s="1"/>
      <c r="H362" s="3"/>
    </row>
    <row r="363" ht="14.25" customHeight="1">
      <c r="C363" s="1"/>
      <c r="F363" s="1"/>
      <c r="H363" s="3"/>
    </row>
    <row r="364" ht="14.25" customHeight="1">
      <c r="C364" s="1"/>
      <c r="F364" s="1"/>
      <c r="H364" s="3"/>
    </row>
    <row r="365" ht="14.25" customHeight="1">
      <c r="C365" s="1"/>
      <c r="F365" s="1"/>
      <c r="H365" s="3"/>
    </row>
    <row r="366" ht="14.25" customHeight="1">
      <c r="C366" s="1"/>
      <c r="F366" s="1"/>
      <c r="H366" s="3"/>
    </row>
    <row r="367" ht="14.25" customHeight="1">
      <c r="C367" s="1"/>
      <c r="F367" s="1"/>
      <c r="H367" s="3"/>
    </row>
    <row r="368" ht="14.25" customHeight="1">
      <c r="C368" s="1"/>
      <c r="F368" s="1"/>
      <c r="H368" s="3"/>
    </row>
    <row r="369" ht="14.25" customHeight="1">
      <c r="C369" s="1"/>
      <c r="F369" s="1"/>
      <c r="H369" s="3"/>
    </row>
    <row r="370" ht="14.25" customHeight="1">
      <c r="C370" s="1"/>
      <c r="F370" s="1"/>
      <c r="H370" s="3"/>
    </row>
    <row r="371" ht="14.25" customHeight="1">
      <c r="C371" s="1"/>
      <c r="F371" s="1"/>
      <c r="H371" s="3"/>
    </row>
    <row r="372" ht="14.25" customHeight="1">
      <c r="C372" s="1"/>
      <c r="F372" s="1"/>
      <c r="H372" s="3"/>
    </row>
    <row r="373" ht="14.25" customHeight="1">
      <c r="C373" s="1"/>
      <c r="F373" s="1"/>
      <c r="H373" s="3"/>
    </row>
    <row r="374" ht="14.25" customHeight="1">
      <c r="C374" s="1"/>
      <c r="F374" s="1"/>
      <c r="H374" s="3"/>
    </row>
    <row r="375" ht="14.25" customHeight="1">
      <c r="C375" s="1"/>
      <c r="F375" s="1"/>
      <c r="H375" s="3"/>
    </row>
    <row r="376" ht="14.25" customHeight="1">
      <c r="C376" s="1"/>
      <c r="F376" s="1"/>
      <c r="H376" s="3"/>
    </row>
    <row r="377" ht="14.25" customHeight="1">
      <c r="C377" s="1"/>
      <c r="F377" s="1"/>
      <c r="H377" s="3"/>
    </row>
    <row r="378" ht="14.25" customHeight="1">
      <c r="C378" s="1"/>
      <c r="F378" s="1"/>
      <c r="H378" s="3"/>
    </row>
    <row r="379" ht="14.25" customHeight="1">
      <c r="C379" s="1"/>
      <c r="F379" s="1"/>
      <c r="H379" s="3"/>
    </row>
    <row r="380" ht="14.25" customHeight="1">
      <c r="C380" s="1"/>
      <c r="F380" s="1"/>
      <c r="H380" s="3"/>
    </row>
    <row r="381" ht="14.25" customHeight="1">
      <c r="C381" s="1"/>
      <c r="F381" s="1"/>
      <c r="H381" s="3"/>
    </row>
    <row r="382" ht="14.25" customHeight="1">
      <c r="C382" s="1"/>
      <c r="F382" s="1"/>
      <c r="H382" s="3"/>
    </row>
    <row r="383" ht="14.25" customHeight="1">
      <c r="C383" s="1"/>
      <c r="F383" s="1"/>
      <c r="H383" s="3"/>
    </row>
    <row r="384" ht="14.25" customHeight="1">
      <c r="C384" s="1"/>
      <c r="F384" s="1"/>
      <c r="H384" s="3"/>
    </row>
    <row r="385" ht="14.25" customHeight="1">
      <c r="C385" s="1"/>
      <c r="F385" s="1"/>
      <c r="H385" s="3"/>
    </row>
    <row r="386" ht="14.25" customHeight="1">
      <c r="C386" s="1"/>
      <c r="F386" s="1"/>
      <c r="H386" s="3"/>
    </row>
    <row r="387" ht="14.25" customHeight="1">
      <c r="C387" s="1"/>
      <c r="F387" s="1"/>
      <c r="H387" s="3"/>
    </row>
    <row r="388" ht="14.25" customHeight="1">
      <c r="C388" s="1"/>
      <c r="F388" s="1"/>
      <c r="H388" s="3"/>
    </row>
    <row r="389" ht="14.25" customHeight="1">
      <c r="C389" s="1"/>
      <c r="F389" s="1"/>
      <c r="H389" s="3"/>
    </row>
    <row r="390" ht="14.25" customHeight="1">
      <c r="C390" s="1"/>
      <c r="F390" s="1"/>
      <c r="H390" s="3"/>
    </row>
    <row r="391" ht="14.25" customHeight="1">
      <c r="C391" s="1"/>
      <c r="F391" s="1"/>
      <c r="H391" s="3"/>
    </row>
    <row r="392" ht="14.25" customHeight="1">
      <c r="C392" s="1"/>
      <c r="F392" s="1"/>
      <c r="H392" s="3"/>
    </row>
    <row r="393" ht="14.25" customHeight="1">
      <c r="C393" s="1"/>
      <c r="F393" s="1"/>
      <c r="H393" s="3"/>
    </row>
    <row r="394" ht="14.25" customHeight="1">
      <c r="C394" s="1"/>
      <c r="F394" s="1"/>
      <c r="H394" s="3"/>
    </row>
    <row r="395" ht="14.25" customHeight="1">
      <c r="C395" s="1"/>
      <c r="F395" s="1"/>
      <c r="H395" s="3"/>
    </row>
    <row r="396" ht="14.25" customHeight="1">
      <c r="C396" s="1"/>
      <c r="F396" s="1"/>
      <c r="H396" s="3"/>
    </row>
    <row r="397" ht="14.25" customHeight="1">
      <c r="C397" s="1"/>
      <c r="F397" s="1"/>
      <c r="H397" s="3"/>
    </row>
    <row r="398" ht="14.25" customHeight="1">
      <c r="C398" s="1"/>
      <c r="F398" s="1"/>
      <c r="H398" s="3"/>
    </row>
    <row r="399" ht="14.25" customHeight="1">
      <c r="C399" s="1"/>
      <c r="F399" s="1"/>
      <c r="H399" s="3"/>
    </row>
    <row r="400" ht="14.25" customHeight="1">
      <c r="C400" s="1"/>
      <c r="F400" s="1"/>
      <c r="H400" s="3"/>
    </row>
    <row r="401" ht="14.25" customHeight="1">
      <c r="C401" s="1"/>
      <c r="F401" s="1"/>
      <c r="H401" s="3"/>
    </row>
    <row r="402" ht="14.25" customHeight="1">
      <c r="C402" s="1"/>
      <c r="F402" s="1"/>
      <c r="H402" s="3"/>
    </row>
    <row r="403" ht="14.25" customHeight="1">
      <c r="C403" s="1"/>
      <c r="F403" s="1"/>
      <c r="H403" s="3"/>
    </row>
    <row r="404" ht="14.25" customHeight="1">
      <c r="C404" s="1"/>
      <c r="F404" s="1"/>
      <c r="H404" s="3"/>
    </row>
    <row r="405" ht="14.25" customHeight="1">
      <c r="C405" s="1"/>
      <c r="F405" s="1"/>
      <c r="H405" s="3"/>
    </row>
    <row r="406" ht="14.25" customHeight="1">
      <c r="C406" s="1"/>
      <c r="F406" s="1"/>
      <c r="H406" s="3"/>
    </row>
    <row r="407" ht="14.25" customHeight="1">
      <c r="C407" s="1"/>
      <c r="F407" s="1"/>
      <c r="H407" s="3"/>
    </row>
    <row r="408" ht="14.25" customHeight="1">
      <c r="C408" s="1"/>
      <c r="F408" s="1"/>
      <c r="H408" s="3"/>
    </row>
    <row r="409" ht="14.25" customHeight="1">
      <c r="C409" s="1"/>
      <c r="F409" s="1"/>
      <c r="H409" s="3"/>
    </row>
    <row r="410" ht="14.25" customHeight="1">
      <c r="C410" s="1"/>
      <c r="F410" s="1"/>
      <c r="H410" s="3"/>
    </row>
    <row r="411" ht="14.25" customHeight="1">
      <c r="C411" s="1"/>
      <c r="F411" s="1"/>
      <c r="H411" s="3"/>
    </row>
    <row r="412" ht="14.25" customHeight="1">
      <c r="C412" s="1"/>
      <c r="F412" s="1"/>
      <c r="H412" s="3"/>
    </row>
    <row r="413" ht="14.25" customHeight="1">
      <c r="C413" s="1"/>
      <c r="F413" s="1"/>
      <c r="H413" s="3"/>
    </row>
    <row r="414" ht="14.25" customHeight="1">
      <c r="C414" s="1"/>
      <c r="F414" s="1"/>
      <c r="H414" s="3"/>
    </row>
    <row r="415" ht="14.25" customHeight="1">
      <c r="C415" s="1"/>
      <c r="F415" s="1"/>
      <c r="H415" s="3"/>
    </row>
    <row r="416" ht="14.25" customHeight="1">
      <c r="C416" s="1"/>
      <c r="F416" s="1"/>
      <c r="H416" s="3"/>
    </row>
    <row r="417" ht="14.25" customHeight="1">
      <c r="C417" s="1"/>
      <c r="F417" s="1"/>
      <c r="H417" s="3"/>
    </row>
    <row r="418" ht="14.25" customHeight="1">
      <c r="C418" s="1"/>
      <c r="F418" s="1"/>
      <c r="H418" s="3"/>
    </row>
    <row r="419" ht="14.25" customHeight="1">
      <c r="C419" s="1"/>
      <c r="F419" s="1"/>
      <c r="H419" s="3"/>
    </row>
    <row r="420" ht="14.25" customHeight="1">
      <c r="C420" s="1"/>
      <c r="F420" s="1"/>
      <c r="H420" s="3"/>
    </row>
    <row r="421" ht="14.25" customHeight="1">
      <c r="C421" s="1"/>
      <c r="F421" s="1"/>
      <c r="H421" s="3"/>
    </row>
    <row r="422" ht="14.25" customHeight="1">
      <c r="C422" s="1"/>
      <c r="F422" s="1"/>
      <c r="H422" s="3"/>
    </row>
    <row r="423" ht="14.25" customHeight="1">
      <c r="C423" s="1"/>
      <c r="F423" s="1"/>
      <c r="H423" s="3"/>
    </row>
    <row r="424" ht="14.25" customHeight="1">
      <c r="C424" s="1"/>
      <c r="F424" s="1"/>
      <c r="H424" s="3"/>
    </row>
    <row r="425" ht="14.25" customHeight="1">
      <c r="C425" s="1"/>
      <c r="F425" s="1"/>
      <c r="H425" s="3"/>
    </row>
    <row r="426" ht="14.25" customHeight="1">
      <c r="C426" s="1"/>
      <c r="F426" s="1"/>
      <c r="H426" s="3"/>
    </row>
    <row r="427" ht="14.25" customHeight="1">
      <c r="C427" s="1"/>
      <c r="F427" s="1"/>
      <c r="H427" s="3"/>
    </row>
    <row r="428" ht="14.25" customHeight="1">
      <c r="C428" s="1"/>
      <c r="F428" s="1"/>
      <c r="H428" s="3"/>
    </row>
    <row r="429" ht="14.25" customHeight="1">
      <c r="C429" s="1"/>
      <c r="F429" s="1"/>
      <c r="H429" s="3"/>
    </row>
    <row r="430" ht="14.25" customHeight="1">
      <c r="C430" s="1"/>
      <c r="F430" s="1"/>
      <c r="H430" s="3"/>
    </row>
    <row r="431" ht="14.25" customHeight="1">
      <c r="C431" s="1"/>
      <c r="F431" s="1"/>
      <c r="H431" s="3"/>
    </row>
    <row r="432" ht="14.25" customHeight="1">
      <c r="C432" s="1"/>
      <c r="F432" s="1"/>
      <c r="H432" s="3"/>
    </row>
    <row r="433" ht="14.25" customHeight="1">
      <c r="C433" s="1"/>
      <c r="F433" s="1"/>
      <c r="H433" s="3"/>
    </row>
    <row r="434" ht="14.25" customHeight="1">
      <c r="C434" s="1"/>
      <c r="F434" s="1"/>
      <c r="H434" s="3"/>
    </row>
    <row r="435" ht="14.25" customHeight="1">
      <c r="C435" s="1"/>
      <c r="F435" s="1"/>
      <c r="H435" s="3"/>
    </row>
    <row r="436" ht="14.25" customHeight="1">
      <c r="C436" s="1"/>
      <c r="F436" s="1"/>
      <c r="H436" s="3"/>
    </row>
    <row r="437" ht="14.25" customHeight="1">
      <c r="C437" s="1"/>
      <c r="F437" s="1"/>
      <c r="H437" s="3"/>
    </row>
    <row r="438" ht="14.25" customHeight="1">
      <c r="C438" s="1"/>
      <c r="F438" s="1"/>
      <c r="H438" s="3"/>
    </row>
    <row r="439" ht="14.25" customHeight="1">
      <c r="C439" s="1"/>
      <c r="F439" s="1"/>
      <c r="H439" s="3"/>
    </row>
    <row r="440" ht="14.25" customHeight="1">
      <c r="C440" s="1"/>
      <c r="F440" s="1"/>
      <c r="H440" s="3"/>
    </row>
    <row r="441" ht="14.25" customHeight="1">
      <c r="C441" s="1"/>
      <c r="F441" s="1"/>
      <c r="H441" s="3"/>
    </row>
    <row r="442" ht="14.25" customHeight="1">
      <c r="C442" s="1"/>
      <c r="F442" s="1"/>
      <c r="H442" s="3"/>
    </row>
    <row r="443" ht="14.25" customHeight="1">
      <c r="C443" s="1"/>
      <c r="F443" s="1"/>
      <c r="H443" s="3"/>
    </row>
    <row r="444" ht="14.25" customHeight="1">
      <c r="C444" s="1"/>
      <c r="F444" s="1"/>
      <c r="H444" s="3"/>
    </row>
    <row r="445" ht="14.25" customHeight="1">
      <c r="C445" s="1"/>
      <c r="F445" s="1"/>
      <c r="H445" s="3"/>
    </row>
    <row r="446" ht="14.25" customHeight="1">
      <c r="C446" s="1"/>
      <c r="F446" s="1"/>
      <c r="H446" s="3"/>
    </row>
    <row r="447" ht="14.25" customHeight="1">
      <c r="C447" s="1"/>
      <c r="F447" s="1"/>
      <c r="H447" s="3"/>
    </row>
    <row r="448" ht="14.25" customHeight="1">
      <c r="C448" s="1"/>
      <c r="F448" s="1"/>
      <c r="H448" s="3"/>
    </row>
    <row r="449" ht="14.25" customHeight="1">
      <c r="C449" s="1"/>
      <c r="F449" s="1"/>
      <c r="H449" s="3"/>
    </row>
    <row r="450" ht="14.25" customHeight="1">
      <c r="C450" s="1"/>
      <c r="F450" s="1"/>
      <c r="H450" s="3"/>
    </row>
    <row r="451" ht="14.25" customHeight="1">
      <c r="C451" s="1"/>
      <c r="F451" s="1"/>
      <c r="H451" s="3"/>
    </row>
    <row r="452" ht="14.25" customHeight="1">
      <c r="C452" s="1"/>
      <c r="F452" s="1"/>
      <c r="H452" s="3"/>
    </row>
    <row r="453" ht="14.25" customHeight="1">
      <c r="C453" s="1"/>
      <c r="F453" s="1"/>
      <c r="H453" s="3"/>
    </row>
    <row r="454" ht="14.25" customHeight="1">
      <c r="C454" s="1"/>
      <c r="F454" s="1"/>
      <c r="H454" s="3"/>
    </row>
    <row r="455" ht="14.25" customHeight="1">
      <c r="C455" s="1"/>
      <c r="F455" s="1"/>
      <c r="H455" s="3"/>
    </row>
    <row r="456" ht="14.25" customHeight="1">
      <c r="C456" s="1"/>
      <c r="F456" s="1"/>
      <c r="H456" s="3"/>
    </row>
    <row r="457" ht="14.25" customHeight="1">
      <c r="C457" s="1"/>
      <c r="F457" s="1"/>
      <c r="H457" s="3"/>
    </row>
    <row r="458" ht="14.25" customHeight="1">
      <c r="C458" s="1"/>
      <c r="F458" s="1"/>
      <c r="H458" s="3"/>
    </row>
    <row r="459" ht="14.25" customHeight="1">
      <c r="C459" s="1"/>
      <c r="F459" s="1"/>
      <c r="H459" s="3"/>
    </row>
    <row r="460" ht="14.25" customHeight="1">
      <c r="C460" s="1"/>
      <c r="F460" s="1"/>
      <c r="H460" s="3"/>
    </row>
    <row r="461" ht="14.25" customHeight="1">
      <c r="C461" s="1"/>
      <c r="F461" s="1"/>
      <c r="H461" s="3"/>
    </row>
    <row r="462" ht="14.25" customHeight="1">
      <c r="C462" s="1"/>
      <c r="F462" s="1"/>
      <c r="H462" s="3"/>
    </row>
    <row r="463" ht="14.25" customHeight="1">
      <c r="C463" s="1"/>
      <c r="F463" s="1"/>
      <c r="H463" s="3"/>
    </row>
    <row r="464" ht="14.25" customHeight="1">
      <c r="C464" s="1"/>
      <c r="F464" s="1"/>
      <c r="H464" s="3"/>
    </row>
    <row r="465" ht="14.25" customHeight="1">
      <c r="C465" s="1"/>
      <c r="F465" s="1"/>
      <c r="H465" s="3"/>
    </row>
    <row r="466" ht="14.25" customHeight="1">
      <c r="C466" s="1"/>
      <c r="F466" s="1"/>
      <c r="H466" s="3"/>
    </row>
    <row r="467" ht="14.25" customHeight="1">
      <c r="C467" s="1"/>
      <c r="F467" s="1"/>
      <c r="H467" s="3"/>
    </row>
    <row r="468" ht="14.25" customHeight="1">
      <c r="C468" s="1"/>
      <c r="F468" s="1"/>
      <c r="H468" s="3"/>
    </row>
    <row r="469" ht="14.25" customHeight="1">
      <c r="C469" s="1"/>
      <c r="F469" s="1"/>
      <c r="H469" s="3"/>
    </row>
    <row r="470" ht="14.25" customHeight="1">
      <c r="C470" s="1"/>
      <c r="F470" s="1"/>
      <c r="H470" s="3"/>
    </row>
    <row r="471" ht="14.25" customHeight="1">
      <c r="C471" s="1"/>
      <c r="F471" s="1"/>
      <c r="H471" s="3"/>
    </row>
    <row r="472" ht="14.25" customHeight="1">
      <c r="C472" s="1"/>
      <c r="F472" s="1"/>
      <c r="H472" s="3"/>
    </row>
    <row r="473" ht="14.25" customHeight="1">
      <c r="C473" s="1"/>
      <c r="F473" s="1"/>
      <c r="H473" s="3"/>
    </row>
    <row r="474" ht="14.25" customHeight="1">
      <c r="C474" s="1"/>
      <c r="F474" s="1"/>
      <c r="H474" s="3"/>
    </row>
    <row r="475" ht="14.25" customHeight="1">
      <c r="C475" s="1"/>
      <c r="F475" s="1"/>
      <c r="H475" s="3"/>
    </row>
    <row r="476" ht="14.25" customHeight="1">
      <c r="C476" s="1"/>
      <c r="F476" s="1"/>
      <c r="H476" s="3"/>
    </row>
    <row r="477" ht="14.25" customHeight="1">
      <c r="C477" s="1"/>
      <c r="F477" s="1"/>
      <c r="H477" s="3"/>
    </row>
    <row r="478" ht="14.25" customHeight="1">
      <c r="C478" s="1"/>
      <c r="F478" s="1"/>
      <c r="H478" s="3"/>
    </row>
    <row r="479" ht="14.25" customHeight="1">
      <c r="C479" s="1"/>
      <c r="F479" s="1"/>
      <c r="H479" s="3"/>
    </row>
    <row r="480" ht="14.25" customHeight="1">
      <c r="C480" s="1"/>
      <c r="F480" s="1"/>
      <c r="H480" s="3"/>
    </row>
    <row r="481" ht="14.25" customHeight="1">
      <c r="C481" s="1"/>
      <c r="F481" s="1"/>
      <c r="H481" s="3"/>
    </row>
    <row r="482" ht="14.25" customHeight="1">
      <c r="C482" s="1"/>
      <c r="F482" s="1"/>
      <c r="H482" s="3"/>
    </row>
    <row r="483" ht="14.25" customHeight="1">
      <c r="C483" s="1"/>
      <c r="F483" s="1"/>
      <c r="H483" s="3"/>
    </row>
    <row r="484" ht="14.25" customHeight="1">
      <c r="C484" s="1"/>
      <c r="F484" s="1"/>
      <c r="H484" s="3"/>
    </row>
    <row r="485" ht="14.25" customHeight="1">
      <c r="C485" s="1"/>
      <c r="F485" s="1"/>
      <c r="H485" s="3"/>
    </row>
    <row r="486" ht="14.25" customHeight="1">
      <c r="C486" s="1"/>
      <c r="F486" s="1"/>
      <c r="H486" s="3"/>
    </row>
    <row r="487" ht="14.25" customHeight="1">
      <c r="C487" s="1"/>
      <c r="F487" s="1"/>
      <c r="H487" s="3"/>
    </row>
    <row r="488" ht="14.25" customHeight="1">
      <c r="C488" s="1"/>
      <c r="F488" s="1"/>
      <c r="H488" s="3"/>
    </row>
    <row r="489" ht="14.25" customHeight="1">
      <c r="C489" s="1"/>
      <c r="F489" s="1"/>
      <c r="H489" s="3"/>
    </row>
    <row r="490" ht="14.25" customHeight="1">
      <c r="C490" s="1"/>
      <c r="F490" s="1"/>
      <c r="H490" s="3"/>
    </row>
    <row r="491" ht="14.25" customHeight="1">
      <c r="C491" s="1"/>
      <c r="F491" s="1"/>
      <c r="H491" s="3"/>
    </row>
    <row r="492" ht="14.25" customHeight="1">
      <c r="C492" s="1"/>
      <c r="F492" s="1"/>
      <c r="H492" s="3"/>
    </row>
    <row r="493" ht="14.25" customHeight="1">
      <c r="C493" s="1"/>
      <c r="F493" s="1"/>
      <c r="H493" s="3"/>
    </row>
    <row r="494" ht="14.25" customHeight="1">
      <c r="C494" s="1"/>
      <c r="F494" s="1"/>
      <c r="H494" s="3"/>
    </row>
    <row r="495" ht="14.25" customHeight="1">
      <c r="C495" s="1"/>
      <c r="F495" s="1"/>
      <c r="H495" s="3"/>
    </row>
    <row r="496" ht="14.25" customHeight="1">
      <c r="C496" s="1"/>
      <c r="F496" s="1"/>
      <c r="H496" s="3"/>
    </row>
    <row r="497" ht="14.25" customHeight="1">
      <c r="C497" s="1"/>
      <c r="F497" s="1"/>
      <c r="H497" s="3"/>
    </row>
    <row r="498" ht="14.25" customHeight="1">
      <c r="C498" s="1"/>
      <c r="F498" s="1"/>
      <c r="H498" s="3"/>
    </row>
    <row r="499" ht="14.25" customHeight="1">
      <c r="C499" s="1"/>
      <c r="F499" s="1"/>
      <c r="H499" s="3"/>
    </row>
    <row r="500" ht="14.25" customHeight="1">
      <c r="C500" s="1"/>
      <c r="F500" s="1"/>
      <c r="H500" s="3"/>
    </row>
    <row r="501" ht="14.25" customHeight="1">
      <c r="C501" s="1"/>
      <c r="F501" s="1"/>
      <c r="H501" s="3"/>
    </row>
    <row r="502" ht="14.25" customHeight="1">
      <c r="C502" s="1"/>
      <c r="F502" s="1"/>
      <c r="H502" s="3"/>
    </row>
    <row r="503" ht="14.25" customHeight="1">
      <c r="C503" s="1"/>
      <c r="F503" s="1"/>
      <c r="H503" s="3"/>
    </row>
    <row r="504" ht="14.25" customHeight="1">
      <c r="C504" s="1"/>
      <c r="F504" s="1"/>
      <c r="H504" s="3"/>
    </row>
    <row r="505" ht="14.25" customHeight="1">
      <c r="C505" s="1"/>
      <c r="F505" s="1"/>
      <c r="H505" s="3"/>
    </row>
    <row r="506" ht="14.25" customHeight="1">
      <c r="C506" s="1"/>
      <c r="F506" s="1"/>
      <c r="H506" s="3"/>
    </row>
    <row r="507" ht="14.25" customHeight="1">
      <c r="C507" s="1"/>
      <c r="F507" s="1"/>
      <c r="H507" s="3"/>
    </row>
    <row r="508" ht="14.25" customHeight="1">
      <c r="C508" s="1"/>
      <c r="F508" s="1"/>
      <c r="H508" s="3"/>
    </row>
    <row r="509" ht="14.25" customHeight="1">
      <c r="C509" s="1"/>
      <c r="F509" s="1"/>
      <c r="H509" s="3"/>
    </row>
    <row r="510" ht="14.25" customHeight="1">
      <c r="C510" s="1"/>
      <c r="F510" s="1"/>
      <c r="H510" s="3"/>
    </row>
    <row r="511" ht="14.25" customHeight="1">
      <c r="C511" s="1"/>
      <c r="F511" s="1"/>
      <c r="H511" s="3"/>
    </row>
    <row r="512" ht="14.25" customHeight="1">
      <c r="C512" s="1"/>
      <c r="F512" s="1"/>
      <c r="H512" s="3"/>
    </row>
    <row r="513" ht="14.25" customHeight="1">
      <c r="C513" s="1"/>
      <c r="F513" s="1"/>
      <c r="H513" s="3"/>
    </row>
    <row r="514" ht="14.25" customHeight="1">
      <c r="C514" s="1"/>
      <c r="F514" s="1"/>
      <c r="H514" s="3"/>
    </row>
    <row r="515" ht="14.25" customHeight="1">
      <c r="C515" s="1"/>
      <c r="F515" s="1"/>
      <c r="H515" s="3"/>
    </row>
    <row r="516" ht="14.25" customHeight="1">
      <c r="C516" s="1"/>
      <c r="F516" s="1"/>
      <c r="H516" s="3"/>
    </row>
    <row r="517" ht="14.25" customHeight="1">
      <c r="C517" s="1"/>
      <c r="F517" s="1"/>
      <c r="H517" s="3"/>
    </row>
    <row r="518" ht="14.25" customHeight="1">
      <c r="C518" s="1"/>
      <c r="F518" s="1"/>
      <c r="H518" s="3"/>
    </row>
    <row r="519" ht="14.25" customHeight="1">
      <c r="C519" s="1"/>
      <c r="F519" s="1"/>
      <c r="H519" s="3"/>
    </row>
    <row r="520" ht="14.25" customHeight="1">
      <c r="C520" s="1"/>
      <c r="F520" s="1"/>
      <c r="H520" s="3"/>
    </row>
    <row r="521" ht="14.25" customHeight="1">
      <c r="C521" s="1"/>
      <c r="F521" s="1"/>
      <c r="H521" s="3"/>
    </row>
    <row r="522" ht="14.25" customHeight="1">
      <c r="C522" s="1"/>
      <c r="F522" s="1"/>
      <c r="H522" s="3"/>
    </row>
    <row r="523" ht="14.25" customHeight="1">
      <c r="C523" s="1"/>
      <c r="F523" s="1"/>
      <c r="H523" s="3"/>
    </row>
    <row r="524" ht="14.25" customHeight="1">
      <c r="C524" s="1"/>
      <c r="F524" s="1"/>
      <c r="H524" s="3"/>
    </row>
    <row r="525" ht="14.25" customHeight="1">
      <c r="C525" s="1"/>
      <c r="F525" s="1"/>
      <c r="H525" s="3"/>
    </row>
    <row r="526" ht="14.25" customHeight="1">
      <c r="C526" s="1"/>
      <c r="F526" s="1"/>
      <c r="H526" s="3"/>
    </row>
    <row r="527" ht="14.25" customHeight="1">
      <c r="C527" s="1"/>
      <c r="F527" s="1"/>
      <c r="H527" s="3"/>
    </row>
    <row r="528" ht="14.25" customHeight="1">
      <c r="C528" s="1"/>
      <c r="F528" s="1"/>
      <c r="H528" s="3"/>
    </row>
    <row r="529" ht="14.25" customHeight="1">
      <c r="C529" s="1"/>
      <c r="F529" s="1"/>
      <c r="H529" s="3"/>
    </row>
    <row r="530" ht="14.25" customHeight="1">
      <c r="C530" s="1"/>
      <c r="F530" s="1"/>
      <c r="H530" s="3"/>
    </row>
    <row r="531" ht="14.25" customHeight="1">
      <c r="C531" s="1"/>
      <c r="F531" s="1"/>
      <c r="H531" s="3"/>
    </row>
    <row r="532" ht="14.25" customHeight="1">
      <c r="C532" s="1"/>
      <c r="F532" s="1"/>
      <c r="H532" s="3"/>
    </row>
    <row r="533" ht="14.25" customHeight="1">
      <c r="C533" s="1"/>
      <c r="F533" s="1"/>
      <c r="H533" s="3"/>
    </row>
    <row r="534" ht="14.25" customHeight="1">
      <c r="C534" s="1"/>
      <c r="F534" s="1"/>
      <c r="H534" s="3"/>
    </row>
    <row r="535" ht="14.25" customHeight="1">
      <c r="C535" s="1"/>
      <c r="F535" s="1"/>
      <c r="H535" s="3"/>
    </row>
    <row r="536" ht="14.25" customHeight="1">
      <c r="C536" s="1"/>
      <c r="F536" s="1"/>
      <c r="H536" s="3"/>
    </row>
    <row r="537" ht="14.25" customHeight="1">
      <c r="C537" s="1"/>
      <c r="F537" s="1"/>
      <c r="H537" s="3"/>
    </row>
    <row r="538" ht="14.25" customHeight="1">
      <c r="C538" s="1"/>
      <c r="F538" s="1"/>
      <c r="H538" s="3"/>
    </row>
    <row r="539" ht="14.25" customHeight="1">
      <c r="C539" s="1"/>
      <c r="F539" s="1"/>
      <c r="H539" s="3"/>
    </row>
    <row r="540" ht="14.25" customHeight="1">
      <c r="C540" s="1"/>
      <c r="F540" s="1"/>
      <c r="H540" s="3"/>
    </row>
    <row r="541" ht="14.25" customHeight="1">
      <c r="C541" s="1"/>
      <c r="F541" s="1"/>
      <c r="H541" s="3"/>
    </row>
    <row r="542" ht="14.25" customHeight="1">
      <c r="C542" s="1"/>
      <c r="F542" s="1"/>
      <c r="H542" s="3"/>
    </row>
    <row r="543" ht="14.25" customHeight="1">
      <c r="C543" s="1"/>
      <c r="F543" s="1"/>
      <c r="H543" s="3"/>
    </row>
    <row r="544" ht="14.25" customHeight="1">
      <c r="C544" s="1"/>
      <c r="F544" s="1"/>
      <c r="H544" s="3"/>
    </row>
    <row r="545" ht="14.25" customHeight="1">
      <c r="C545" s="1"/>
      <c r="F545" s="1"/>
      <c r="H545" s="3"/>
    </row>
    <row r="546" ht="14.25" customHeight="1">
      <c r="C546" s="1"/>
      <c r="F546" s="1"/>
      <c r="H546" s="3"/>
    </row>
    <row r="547" ht="14.25" customHeight="1">
      <c r="C547" s="1"/>
      <c r="F547" s="1"/>
      <c r="H547" s="3"/>
    </row>
    <row r="548" ht="14.25" customHeight="1">
      <c r="C548" s="1"/>
      <c r="F548" s="1"/>
      <c r="H548" s="3"/>
    </row>
    <row r="549" ht="14.25" customHeight="1">
      <c r="C549" s="1"/>
      <c r="F549" s="1"/>
      <c r="H549" s="3"/>
    </row>
    <row r="550" ht="14.25" customHeight="1">
      <c r="C550" s="1"/>
      <c r="F550" s="1"/>
      <c r="H550" s="3"/>
    </row>
    <row r="551" ht="14.25" customHeight="1">
      <c r="C551" s="1"/>
      <c r="F551" s="1"/>
      <c r="H551" s="3"/>
    </row>
    <row r="552" ht="14.25" customHeight="1">
      <c r="C552" s="1"/>
      <c r="F552" s="1"/>
      <c r="H552" s="3"/>
    </row>
    <row r="553" ht="14.25" customHeight="1">
      <c r="C553" s="1"/>
      <c r="F553" s="1"/>
      <c r="H553" s="3"/>
    </row>
    <row r="554" ht="14.25" customHeight="1">
      <c r="C554" s="1"/>
      <c r="F554" s="1"/>
      <c r="H554" s="3"/>
    </row>
    <row r="555" ht="14.25" customHeight="1">
      <c r="C555" s="1"/>
      <c r="F555" s="1"/>
      <c r="H555" s="3"/>
    </row>
    <row r="556" ht="14.25" customHeight="1">
      <c r="C556" s="1"/>
      <c r="F556" s="1"/>
      <c r="H556" s="3"/>
    </row>
    <row r="557" ht="14.25" customHeight="1">
      <c r="C557" s="1"/>
      <c r="F557" s="1"/>
      <c r="H557" s="3"/>
    </row>
    <row r="558" ht="14.25" customHeight="1">
      <c r="C558" s="1"/>
      <c r="F558" s="1"/>
      <c r="H558" s="3"/>
    </row>
    <row r="559" ht="14.25" customHeight="1">
      <c r="C559" s="1"/>
      <c r="F559" s="1"/>
      <c r="H559" s="3"/>
    </row>
    <row r="560" ht="14.25" customHeight="1">
      <c r="C560" s="1"/>
      <c r="F560" s="1"/>
      <c r="H560" s="3"/>
    </row>
    <row r="561" ht="14.25" customHeight="1">
      <c r="C561" s="1"/>
      <c r="F561" s="1"/>
      <c r="H561" s="3"/>
    </row>
    <row r="562" ht="14.25" customHeight="1">
      <c r="C562" s="1"/>
      <c r="F562" s="1"/>
      <c r="H562" s="3"/>
    </row>
    <row r="563" ht="14.25" customHeight="1">
      <c r="C563" s="1"/>
      <c r="F563" s="1"/>
      <c r="H563" s="3"/>
    </row>
    <row r="564" ht="14.25" customHeight="1">
      <c r="C564" s="1"/>
      <c r="F564" s="1"/>
      <c r="H564" s="3"/>
    </row>
    <row r="565" ht="14.25" customHeight="1">
      <c r="C565" s="1"/>
      <c r="F565" s="1"/>
      <c r="H565" s="3"/>
    </row>
    <row r="566" ht="14.25" customHeight="1">
      <c r="C566" s="1"/>
      <c r="F566" s="1"/>
      <c r="H566" s="3"/>
    </row>
    <row r="567" ht="14.25" customHeight="1">
      <c r="C567" s="1"/>
      <c r="F567" s="1"/>
      <c r="H567" s="3"/>
    </row>
    <row r="568" ht="14.25" customHeight="1">
      <c r="C568" s="1"/>
      <c r="F568" s="1"/>
      <c r="H568" s="3"/>
    </row>
    <row r="569" ht="14.25" customHeight="1">
      <c r="C569" s="1"/>
      <c r="F569" s="1"/>
      <c r="H569" s="3"/>
    </row>
    <row r="570" ht="14.25" customHeight="1">
      <c r="C570" s="1"/>
      <c r="F570" s="1"/>
      <c r="H570" s="3"/>
    </row>
    <row r="571" ht="14.25" customHeight="1">
      <c r="C571" s="1"/>
      <c r="F571" s="1"/>
      <c r="H571" s="3"/>
    </row>
    <row r="572" ht="14.25" customHeight="1">
      <c r="C572" s="1"/>
      <c r="F572" s="1"/>
      <c r="H572" s="3"/>
    </row>
    <row r="573" ht="14.25" customHeight="1">
      <c r="C573" s="1"/>
      <c r="F573" s="1"/>
      <c r="H573" s="3"/>
    </row>
    <row r="574" ht="14.25" customHeight="1">
      <c r="C574" s="1"/>
      <c r="F574" s="1"/>
      <c r="H574" s="3"/>
    </row>
    <row r="575" ht="14.25" customHeight="1">
      <c r="C575" s="1"/>
      <c r="F575" s="1"/>
      <c r="H575" s="3"/>
    </row>
    <row r="576" ht="14.25" customHeight="1">
      <c r="C576" s="1"/>
      <c r="F576" s="1"/>
      <c r="H576" s="3"/>
    </row>
    <row r="577" ht="14.25" customHeight="1">
      <c r="C577" s="1"/>
      <c r="F577" s="1"/>
      <c r="H577" s="3"/>
    </row>
    <row r="578" ht="14.25" customHeight="1">
      <c r="C578" s="1"/>
      <c r="F578" s="1"/>
      <c r="H578" s="3"/>
    </row>
    <row r="579" ht="14.25" customHeight="1">
      <c r="C579" s="1"/>
      <c r="F579" s="1"/>
      <c r="H579" s="3"/>
    </row>
    <row r="580" ht="14.25" customHeight="1">
      <c r="C580" s="1"/>
      <c r="F580" s="1"/>
      <c r="H580" s="3"/>
    </row>
    <row r="581" ht="14.25" customHeight="1">
      <c r="C581" s="1"/>
      <c r="F581" s="1"/>
      <c r="H581" s="3"/>
    </row>
    <row r="582" ht="14.25" customHeight="1">
      <c r="C582" s="1"/>
      <c r="F582" s="1"/>
      <c r="H582" s="3"/>
    </row>
    <row r="583" ht="14.25" customHeight="1">
      <c r="C583" s="1"/>
      <c r="F583" s="1"/>
      <c r="H583" s="3"/>
    </row>
    <row r="584" ht="14.25" customHeight="1">
      <c r="C584" s="1"/>
      <c r="F584" s="1"/>
      <c r="H584" s="3"/>
    </row>
    <row r="585" ht="14.25" customHeight="1">
      <c r="C585" s="1"/>
      <c r="F585" s="1"/>
      <c r="H585" s="3"/>
    </row>
    <row r="586" ht="14.25" customHeight="1">
      <c r="C586" s="1"/>
      <c r="F586" s="1"/>
      <c r="H586" s="3"/>
    </row>
    <row r="587" ht="14.25" customHeight="1">
      <c r="C587" s="1"/>
      <c r="F587" s="1"/>
      <c r="H587" s="3"/>
    </row>
    <row r="588" ht="14.25" customHeight="1">
      <c r="C588" s="1"/>
      <c r="F588" s="1"/>
      <c r="H588" s="3"/>
    </row>
    <row r="589" ht="14.25" customHeight="1">
      <c r="C589" s="1"/>
      <c r="F589" s="1"/>
      <c r="H589" s="3"/>
    </row>
    <row r="590" ht="14.25" customHeight="1">
      <c r="C590" s="1"/>
      <c r="F590" s="1"/>
      <c r="H590" s="3"/>
    </row>
    <row r="591" ht="14.25" customHeight="1">
      <c r="C591" s="1"/>
      <c r="F591" s="1"/>
      <c r="H591" s="3"/>
    </row>
    <row r="592" ht="14.25" customHeight="1">
      <c r="C592" s="1"/>
      <c r="F592" s="1"/>
      <c r="H592" s="3"/>
    </row>
    <row r="593" ht="14.25" customHeight="1">
      <c r="C593" s="1"/>
      <c r="F593" s="1"/>
      <c r="H593" s="3"/>
    </row>
    <row r="594" ht="14.25" customHeight="1">
      <c r="C594" s="1"/>
      <c r="F594" s="1"/>
      <c r="H594" s="3"/>
    </row>
    <row r="595" ht="14.25" customHeight="1">
      <c r="C595" s="1"/>
      <c r="F595" s="1"/>
      <c r="H595" s="3"/>
    </row>
    <row r="596" ht="14.25" customHeight="1">
      <c r="C596" s="1"/>
      <c r="F596" s="1"/>
      <c r="H596" s="3"/>
    </row>
    <row r="597" ht="14.25" customHeight="1">
      <c r="C597" s="1"/>
      <c r="F597" s="1"/>
      <c r="H597" s="3"/>
    </row>
    <row r="598" ht="14.25" customHeight="1">
      <c r="C598" s="1"/>
      <c r="F598" s="1"/>
      <c r="H598" s="3"/>
    </row>
    <row r="599" ht="14.25" customHeight="1">
      <c r="C599" s="1"/>
      <c r="F599" s="1"/>
      <c r="H599" s="3"/>
    </row>
    <row r="600" ht="14.25" customHeight="1">
      <c r="C600" s="1"/>
      <c r="F600" s="1"/>
      <c r="H600" s="3"/>
    </row>
    <row r="601" ht="14.25" customHeight="1">
      <c r="C601" s="1"/>
      <c r="F601" s="1"/>
      <c r="H601" s="3"/>
    </row>
    <row r="602" ht="14.25" customHeight="1">
      <c r="C602" s="1"/>
      <c r="F602" s="1"/>
      <c r="H602" s="3"/>
    </row>
    <row r="603" ht="14.25" customHeight="1">
      <c r="C603" s="1"/>
      <c r="F603" s="1"/>
      <c r="H603" s="3"/>
    </row>
    <row r="604" ht="14.25" customHeight="1">
      <c r="C604" s="1"/>
      <c r="F604" s="1"/>
      <c r="H604" s="3"/>
    </row>
    <row r="605" ht="14.25" customHeight="1">
      <c r="C605" s="1"/>
      <c r="F605" s="1"/>
      <c r="H605" s="3"/>
    </row>
    <row r="606" ht="14.25" customHeight="1">
      <c r="C606" s="1"/>
      <c r="F606" s="1"/>
      <c r="H606" s="3"/>
    </row>
    <row r="607" ht="14.25" customHeight="1">
      <c r="C607" s="1"/>
      <c r="F607" s="1"/>
      <c r="H607" s="3"/>
    </row>
    <row r="608" ht="14.25" customHeight="1">
      <c r="C608" s="1"/>
      <c r="F608" s="1"/>
      <c r="H608" s="3"/>
    </row>
    <row r="609" ht="14.25" customHeight="1">
      <c r="C609" s="1"/>
      <c r="F609" s="1"/>
      <c r="H609" s="3"/>
    </row>
    <row r="610" ht="14.25" customHeight="1">
      <c r="C610" s="1"/>
      <c r="F610" s="1"/>
      <c r="H610" s="3"/>
    </row>
    <row r="611" ht="14.25" customHeight="1">
      <c r="C611" s="1"/>
      <c r="F611" s="1"/>
      <c r="H611" s="3"/>
    </row>
    <row r="612" ht="14.25" customHeight="1">
      <c r="C612" s="1"/>
      <c r="F612" s="1"/>
      <c r="H612" s="3"/>
    </row>
    <row r="613" ht="14.25" customHeight="1">
      <c r="C613" s="1"/>
      <c r="F613" s="1"/>
      <c r="H613" s="3"/>
    </row>
    <row r="614" ht="14.25" customHeight="1">
      <c r="C614" s="1"/>
      <c r="F614" s="1"/>
      <c r="H614" s="3"/>
    </row>
    <row r="615" ht="14.25" customHeight="1">
      <c r="C615" s="1"/>
      <c r="F615" s="1"/>
      <c r="H615" s="3"/>
    </row>
    <row r="616" ht="14.25" customHeight="1">
      <c r="C616" s="1"/>
      <c r="F616" s="1"/>
      <c r="H616" s="3"/>
    </row>
    <row r="617" ht="14.25" customHeight="1">
      <c r="C617" s="1"/>
      <c r="F617" s="1"/>
      <c r="H617" s="3"/>
    </row>
    <row r="618" ht="14.25" customHeight="1">
      <c r="C618" s="1"/>
      <c r="F618" s="1"/>
      <c r="H618" s="3"/>
    </row>
    <row r="619" ht="14.25" customHeight="1">
      <c r="C619" s="1"/>
      <c r="F619" s="1"/>
      <c r="H619" s="3"/>
    </row>
    <row r="620" ht="14.25" customHeight="1">
      <c r="C620" s="1"/>
      <c r="F620" s="1"/>
      <c r="H620" s="3"/>
    </row>
    <row r="621" ht="14.25" customHeight="1">
      <c r="C621" s="1"/>
      <c r="F621" s="1"/>
      <c r="H621" s="3"/>
    </row>
    <row r="622" ht="14.25" customHeight="1">
      <c r="C622" s="1"/>
      <c r="F622" s="1"/>
      <c r="H622" s="3"/>
    </row>
    <row r="623" ht="14.25" customHeight="1">
      <c r="C623" s="1"/>
      <c r="F623" s="1"/>
      <c r="H623" s="3"/>
    </row>
    <row r="624" ht="14.25" customHeight="1">
      <c r="C624" s="1"/>
      <c r="F624" s="1"/>
      <c r="H624" s="3"/>
    </row>
    <row r="625" ht="14.25" customHeight="1">
      <c r="C625" s="1"/>
      <c r="F625" s="1"/>
      <c r="H625" s="3"/>
    </row>
    <row r="626" ht="14.25" customHeight="1">
      <c r="C626" s="1"/>
      <c r="F626" s="1"/>
      <c r="H626" s="3"/>
    </row>
    <row r="627" ht="14.25" customHeight="1">
      <c r="C627" s="1"/>
      <c r="F627" s="1"/>
      <c r="H627" s="3"/>
    </row>
    <row r="628" ht="14.25" customHeight="1">
      <c r="C628" s="1"/>
      <c r="F628" s="1"/>
      <c r="H628" s="3"/>
    </row>
    <row r="629" ht="14.25" customHeight="1">
      <c r="C629" s="1"/>
      <c r="F629" s="1"/>
      <c r="H629" s="3"/>
    </row>
    <row r="630" ht="14.25" customHeight="1">
      <c r="C630" s="1"/>
      <c r="F630" s="1"/>
      <c r="H630" s="3"/>
    </row>
    <row r="631" ht="14.25" customHeight="1">
      <c r="C631" s="1"/>
      <c r="F631" s="1"/>
      <c r="H631" s="3"/>
    </row>
    <row r="632" ht="14.25" customHeight="1">
      <c r="C632" s="1"/>
      <c r="F632" s="1"/>
      <c r="H632" s="3"/>
    </row>
    <row r="633" ht="14.25" customHeight="1">
      <c r="C633" s="1"/>
      <c r="F633" s="1"/>
      <c r="H633" s="3"/>
    </row>
    <row r="634" ht="14.25" customHeight="1">
      <c r="C634" s="1"/>
      <c r="F634" s="1"/>
      <c r="H634" s="3"/>
    </row>
    <row r="635" ht="14.25" customHeight="1">
      <c r="C635" s="1"/>
      <c r="F635" s="1"/>
      <c r="H635" s="3"/>
    </row>
    <row r="636" ht="14.25" customHeight="1">
      <c r="C636" s="1"/>
      <c r="F636" s="1"/>
      <c r="H636" s="3"/>
    </row>
    <row r="637" ht="14.25" customHeight="1">
      <c r="C637" s="1"/>
      <c r="F637" s="1"/>
      <c r="H637" s="3"/>
    </row>
    <row r="638" ht="14.25" customHeight="1">
      <c r="C638" s="1"/>
      <c r="F638" s="1"/>
      <c r="H638" s="3"/>
    </row>
    <row r="639" ht="14.25" customHeight="1">
      <c r="C639" s="1"/>
      <c r="F639" s="1"/>
      <c r="H639" s="3"/>
    </row>
    <row r="640" ht="14.25" customHeight="1">
      <c r="C640" s="1"/>
      <c r="F640" s="1"/>
      <c r="H640" s="3"/>
    </row>
    <row r="641" ht="14.25" customHeight="1">
      <c r="C641" s="1"/>
      <c r="F641" s="1"/>
      <c r="H641" s="3"/>
    </row>
    <row r="642" ht="14.25" customHeight="1">
      <c r="C642" s="1"/>
      <c r="F642" s="1"/>
      <c r="H642" s="3"/>
    </row>
    <row r="643" ht="14.25" customHeight="1">
      <c r="C643" s="1"/>
      <c r="F643" s="1"/>
      <c r="H643" s="3"/>
    </row>
    <row r="644" ht="14.25" customHeight="1">
      <c r="C644" s="1"/>
      <c r="F644" s="1"/>
      <c r="H644" s="3"/>
    </row>
    <row r="645" ht="14.25" customHeight="1">
      <c r="C645" s="1"/>
      <c r="F645" s="1"/>
      <c r="H645" s="3"/>
    </row>
    <row r="646" ht="14.25" customHeight="1">
      <c r="C646" s="1"/>
      <c r="F646" s="1"/>
      <c r="H646" s="3"/>
    </row>
    <row r="647" ht="14.25" customHeight="1">
      <c r="C647" s="1"/>
      <c r="F647" s="1"/>
      <c r="H647" s="3"/>
    </row>
    <row r="648" ht="14.25" customHeight="1">
      <c r="C648" s="1"/>
      <c r="F648" s="1"/>
      <c r="H648" s="3"/>
    </row>
    <row r="649" ht="14.25" customHeight="1">
      <c r="C649" s="1"/>
      <c r="F649" s="1"/>
      <c r="H649" s="3"/>
    </row>
    <row r="650" ht="14.25" customHeight="1">
      <c r="C650" s="1"/>
      <c r="F650" s="1"/>
      <c r="H650" s="3"/>
    </row>
    <row r="651" ht="14.25" customHeight="1">
      <c r="C651" s="1"/>
      <c r="F651" s="1"/>
      <c r="H651" s="3"/>
    </row>
    <row r="652" ht="14.25" customHeight="1">
      <c r="C652" s="1"/>
      <c r="F652" s="1"/>
      <c r="H652" s="3"/>
    </row>
    <row r="653" ht="14.25" customHeight="1">
      <c r="C653" s="1"/>
      <c r="F653" s="1"/>
      <c r="H653" s="3"/>
    </row>
    <row r="654" ht="14.25" customHeight="1">
      <c r="C654" s="1"/>
      <c r="F654" s="1"/>
      <c r="H654" s="3"/>
    </row>
    <row r="655" ht="14.25" customHeight="1">
      <c r="C655" s="1"/>
      <c r="F655" s="1"/>
      <c r="H655" s="3"/>
    </row>
    <row r="656" ht="14.25" customHeight="1">
      <c r="C656" s="1"/>
      <c r="F656" s="1"/>
      <c r="H656" s="3"/>
    </row>
    <row r="657" ht="14.25" customHeight="1">
      <c r="C657" s="1"/>
      <c r="F657" s="1"/>
      <c r="H657" s="3"/>
    </row>
    <row r="658" ht="14.25" customHeight="1">
      <c r="C658" s="1"/>
      <c r="F658" s="1"/>
      <c r="H658" s="3"/>
    </row>
    <row r="659" ht="14.25" customHeight="1">
      <c r="C659" s="1"/>
      <c r="F659" s="1"/>
      <c r="H659" s="3"/>
    </row>
    <row r="660" ht="14.25" customHeight="1">
      <c r="C660" s="1"/>
      <c r="F660" s="1"/>
      <c r="H660" s="3"/>
    </row>
    <row r="661" ht="14.25" customHeight="1">
      <c r="C661" s="1"/>
      <c r="F661" s="1"/>
      <c r="H661" s="3"/>
    </row>
    <row r="662" ht="14.25" customHeight="1">
      <c r="C662" s="1"/>
      <c r="F662" s="1"/>
      <c r="H662" s="3"/>
    </row>
    <row r="663" ht="14.25" customHeight="1">
      <c r="C663" s="1"/>
      <c r="F663" s="1"/>
      <c r="H663" s="3"/>
    </row>
    <row r="664" ht="14.25" customHeight="1">
      <c r="C664" s="1"/>
      <c r="F664" s="1"/>
      <c r="H664" s="3"/>
    </row>
    <row r="665" ht="14.25" customHeight="1">
      <c r="C665" s="1"/>
      <c r="F665" s="1"/>
      <c r="H665" s="3"/>
    </row>
    <row r="666" ht="14.25" customHeight="1">
      <c r="C666" s="1"/>
      <c r="F666" s="1"/>
      <c r="H666" s="3"/>
    </row>
    <row r="667" ht="14.25" customHeight="1">
      <c r="C667" s="1"/>
      <c r="F667" s="1"/>
      <c r="H667" s="3"/>
    </row>
    <row r="668" ht="14.25" customHeight="1">
      <c r="C668" s="1"/>
      <c r="F668" s="1"/>
      <c r="H668" s="3"/>
    </row>
    <row r="669" ht="14.25" customHeight="1">
      <c r="C669" s="1"/>
      <c r="F669" s="1"/>
      <c r="H669" s="3"/>
    </row>
    <row r="670" ht="14.25" customHeight="1">
      <c r="C670" s="1"/>
      <c r="F670" s="1"/>
      <c r="H670" s="3"/>
    </row>
    <row r="671" ht="14.25" customHeight="1">
      <c r="C671" s="1"/>
      <c r="F671" s="1"/>
      <c r="H671" s="3"/>
    </row>
    <row r="672" ht="14.25" customHeight="1">
      <c r="C672" s="1"/>
      <c r="F672" s="1"/>
      <c r="H672" s="3"/>
    </row>
    <row r="673" ht="14.25" customHeight="1">
      <c r="C673" s="1"/>
      <c r="F673" s="1"/>
      <c r="H673" s="3"/>
    </row>
    <row r="674" ht="14.25" customHeight="1">
      <c r="C674" s="1"/>
      <c r="F674" s="1"/>
      <c r="H674" s="3"/>
    </row>
    <row r="675" ht="14.25" customHeight="1">
      <c r="C675" s="1"/>
      <c r="F675" s="1"/>
      <c r="H675" s="3"/>
    </row>
    <row r="676" ht="14.25" customHeight="1">
      <c r="C676" s="1"/>
      <c r="F676" s="1"/>
      <c r="H676" s="3"/>
    </row>
    <row r="677" ht="14.25" customHeight="1">
      <c r="C677" s="1"/>
      <c r="F677" s="1"/>
      <c r="H677" s="3"/>
    </row>
    <row r="678" ht="14.25" customHeight="1">
      <c r="C678" s="1"/>
      <c r="F678" s="1"/>
      <c r="H678" s="3"/>
    </row>
    <row r="679" ht="14.25" customHeight="1">
      <c r="C679" s="1"/>
      <c r="F679" s="1"/>
      <c r="H679" s="3"/>
    </row>
    <row r="680" ht="14.25" customHeight="1">
      <c r="C680" s="1"/>
      <c r="F680" s="1"/>
      <c r="H680" s="3"/>
    </row>
    <row r="681" ht="14.25" customHeight="1">
      <c r="C681" s="1"/>
      <c r="F681" s="1"/>
      <c r="H681" s="3"/>
    </row>
    <row r="682" ht="14.25" customHeight="1">
      <c r="C682" s="1"/>
      <c r="F682" s="1"/>
      <c r="H682" s="3"/>
    </row>
    <row r="683" ht="14.25" customHeight="1">
      <c r="C683" s="1"/>
      <c r="F683" s="1"/>
      <c r="H683" s="3"/>
    </row>
    <row r="684" ht="14.25" customHeight="1">
      <c r="C684" s="1"/>
      <c r="F684" s="1"/>
      <c r="H684" s="3"/>
    </row>
    <row r="685" ht="14.25" customHeight="1">
      <c r="C685" s="1"/>
      <c r="F685" s="1"/>
      <c r="H685" s="3"/>
    </row>
    <row r="686" ht="14.25" customHeight="1">
      <c r="C686" s="1"/>
      <c r="F686" s="1"/>
      <c r="H686" s="3"/>
    </row>
    <row r="687" ht="14.25" customHeight="1">
      <c r="C687" s="1"/>
      <c r="F687" s="1"/>
      <c r="H687" s="3"/>
    </row>
    <row r="688" ht="14.25" customHeight="1">
      <c r="C688" s="1"/>
      <c r="F688" s="1"/>
      <c r="H688" s="3"/>
    </row>
    <row r="689" ht="14.25" customHeight="1">
      <c r="C689" s="1"/>
      <c r="F689" s="1"/>
      <c r="H689" s="3"/>
    </row>
    <row r="690" ht="14.25" customHeight="1">
      <c r="C690" s="1"/>
      <c r="F690" s="1"/>
      <c r="H690" s="3"/>
    </row>
    <row r="691" ht="14.25" customHeight="1">
      <c r="C691" s="1"/>
      <c r="F691" s="1"/>
      <c r="H691" s="3"/>
    </row>
    <row r="692" ht="14.25" customHeight="1">
      <c r="C692" s="1"/>
      <c r="F692" s="1"/>
      <c r="H692" s="3"/>
    </row>
    <row r="693" ht="14.25" customHeight="1">
      <c r="C693" s="1"/>
      <c r="F693" s="1"/>
      <c r="H693" s="3"/>
    </row>
    <row r="694" ht="14.25" customHeight="1">
      <c r="C694" s="1"/>
      <c r="F694" s="1"/>
      <c r="H694" s="3"/>
    </row>
    <row r="695" ht="14.25" customHeight="1">
      <c r="C695" s="1"/>
      <c r="F695" s="1"/>
      <c r="H695" s="3"/>
    </row>
    <row r="696" ht="14.25" customHeight="1">
      <c r="C696" s="1"/>
      <c r="F696" s="1"/>
      <c r="H696" s="3"/>
    </row>
    <row r="697" ht="14.25" customHeight="1">
      <c r="C697" s="1"/>
      <c r="F697" s="1"/>
      <c r="H697" s="3"/>
    </row>
    <row r="698" ht="14.25" customHeight="1">
      <c r="C698" s="1"/>
      <c r="F698" s="1"/>
      <c r="H698" s="3"/>
    </row>
    <row r="699" ht="14.25" customHeight="1">
      <c r="C699" s="1"/>
      <c r="F699" s="1"/>
      <c r="H699" s="3"/>
    </row>
    <row r="700" ht="14.25" customHeight="1">
      <c r="C700" s="1"/>
      <c r="F700" s="1"/>
      <c r="H700" s="3"/>
    </row>
    <row r="701" ht="14.25" customHeight="1">
      <c r="C701" s="1"/>
      <c r="F701" s="1"/>
      <c r="H701" s="3"/>
    </row>
    <row r="702" ht="14.25" customHeight="1">
      <c r="C702" s="1"/>
      <c r="F702" s="1"/>
      <c r="H702" s="3"/>
    </row>
    <row r="703" ht="14.25" customHeight="1">
      <c r="C703" s="1"/>
      <c r="F703" s="1"/>
      <c r="H703" s="3"/>
    </row>
    <row r="704" ht="14.25" customHeight="1">
      <c r="C704" s="1"/>
      <c r="F704" s="1"/>
      <c r="H704" s="3"/>
    </row>
    <row r="705" ht="14.25" customHeight="1">
      <c r="C705" s="1"/>
      <c r="F705" s="1"/>
      <c r="H705" s="3"/>
    </row>
    <row r="706" ht="14.25" customHeight="1">
      <c r="C706" s="1"/>
      <c r="F706" s="1"/>
      <c r="H706" s="3"/>
    </row>
    <row r="707" ht="14.25" customHeight="1">
      <c r="C707" s="1"/>
      <c r="F707" s="1"/>
      <c r="H707" s="3"/>
    </row>
    <row r="708" ht="14.25" customHeight="1">
      <c r="C708" s="1"/>
      <c r="F708" s="1"/>
      <c r="H708" s="3"/>
    </row>
    <row r="709" ht="14.25" customHeight="1">
      <c r="C709" s="1"/>
      <c r="F709" s="1"/>
      <c r="H709" s="3"/>
    </row>
    <row r="710" ht="14.25" customHeight="1">
      <c r="C710" s="1"/>
      <c r="F710" s="1"/>
      <c r="H710" s="3"/>
    </row>
    <row r="711" ht="14.25" customHeight="1">
      <c r="C711" s="1"/>
      <c r="F711" s="1"/>
      <c r="H711" s="3"/>
    </row>
    <row r="712" ht="14.25" customHeight="1">
      <c r="C712" s="1"/>
      <c r="F712" s="1"/>
      <c r="H712" s="3"/>
    </row>
    <row r="713" ht="14.25" customHeight="1">
      <c r="C713" s="1"/>
      <c r="F713" s="1"/>
      <c r="H713" s="3"/>
    </row>
    <row r="714" ht="14.25" customHeight="1">
      <c r="C714" s="1"/>
      <c r="F714" s="1"/>
      <c r="H714" s="3"/>
    </row>
    <row r="715" ht="14.25" customHeight="1">
      <c r="C715" s="1"/>
      <c r="F715" s="1"/>
      <c r="H715" s="3"/>
    </row>
    <row r="716" ht="14.25" customHeight="1">
      <c r="C716" s="1"/>
      <c r="F716" s="1"/>
      <c r="H716" s="3"/>
    </row>
    <row r="717" ht="14.25" customHeight="1">
      <c r="C717" s="1"/>
      <c r="F717" s="1"/>
      <c r="H717" s="3"/>
    </row>
    <row r="718" ht="14.25" customHeight="1">
      <c r="C718" s="1"/>
      <c r="F718" s="1"/>
      <c r="H718" s="3"/>
    </row>
    <row r="719" ht="14.25" customHeight="1">
      <c r="C719" s="1"/>
      <c r="F719" s="1"/>
      <c r="H719" s="3"/>
    </row>
    <row r="720" ht="14.25" customHeight="1">
      <c r="C720" s="1"/>
      <c r="F720" s="1"/>
      <c r="H720" s="3"/>
    </row>
    <row r="721" ht="14.25" customHeight="1">
      <c r="C721" s="1"/>
      <c r="F721" s="1"/>
      <c r="H721" s="3"/>
    </row>
    <row r="722" ht="14.25" customHeight="1">
      <c r="C722" s="1"/>
      <c r="F722" s="1"/>
      <c r="H722" s="3"/>
    </row>
    <row r="723" ht="14.25" customHeight="1">
      <c r="C723" s="1"/>
      <c r="F723" s="1"/>
      <c r="H723" s="3"/>
    </row>
    <row r="724" ht="14.25" customHeight="1">
      <c r="C724" s="1"/>
      <c r="F724" s="1"/>
      <c r="H724" s="3"/>
    </row>
    <row r="725" ht="14.25" customHeight="1">
      <c r="C725" s="1"/>
      <c r="F725" s="1"/>
      <c r="H725" s="3"/>
    </row>
    <row r="726" ht="14.25" customHeight="1">
      <c r="C726" s="1"/>
      <c r="F726" s="1"/>
      <c r="H726" s="3"/>
    </row>
    <row r="727" ht="14.25" customHeight="1">
      <c r="C727" s="1"/>
      <c r="F727" s="1"/>
      <c r="H727" s="3"/>
    </row>
    <row r="728" ht="14.25" customHeight="1">
      <c r="C728" s="1"/>
      <c r="F728" s="1"/>
      <c r="H728" s="3"/>
    </row>
    <row r="729" ht="14.25" customHeight="1">
      <c r="C729" s="1"/>
      <c r="F729" s="1"/>
      <c r="H729" s="3"/>
    </row>
    <row r="730" ht="14.25" customHeight="1">
      <c r="C730" s="1"/>
      <c r="F730" s="1"/>
      <c r="H730" s="3"/>
    </row>
    <row r="731" ht="14.25" customHeight="1">
      <c r="C731" s="1"/>
      <c r="F731" s="1"/>
      <c r="H731" s="3"/>
    </row>
    <row r="732" ht="14.25" customHeight="1">
      <c r="C732" s="1"/>
      <c r="F732" s="1"/>
      <c r="H732" s="3"/>
    </row>
    <row r="733" ht="14.25" customHeight="1">
      <c r="C733" s="1"/>
      <c r="F733" s="1"/>
      <c r="H733" s="3"/>
    </row>
    <row r="734" ht="14.25" customHeight="1">
      <c r="C734" s="1"/>
      <c r="F734" s="1"/>
      <c r="H734" s="3"/>
    </row>
    <row r="735" ht="14.25" customHeight="1">
      <c r="C735" s="1"/>
      <c r="F735" s="1"/>
      <c r="H735" s="3"/>
    </row>
    <row r="736" ht="14.25" customHeight="1">
      <c r="C736" s="1"/>
      <c r="F736" s="1"/>
      <c r="H736" s="3"/>
    </row>
    <row r="737" ht="14.25" customHeight="1">
      <c r="C737" s="1"/>
      <c r="F737" s="1"/>
      <c r="H737" s="3"/>
    </row>
    <row r="738" ht="14.25" customHeight="1">
      <c r="C738" s="1"/>
      <c r="F738" s="1"/>
      <c r="H738" s="3"/>
    </row>
    <row r="739" ht="14.25" customHeight="1">
      <c r="C739" s="1"/>
      <c r="F739" s="1"/>
      <c r="H739" s="3"/>
    </row>
    <row r="740" ht="14.25" customHeight="1">
      <c r="C740" s="1"/>
      <c r="F740" s="1"/>
      <c r="H740" s="3"/>
    </row>
    <row r="741" ht="14.25" customHeight="1">
      <c r="C741" s="1"/>
      <c r="F741" s="1"/>
      <c r="H741" s="3"/>
    </row>
    <row r="742" ht="14.25" customHeight="1">
      <c r="C742" s="1"/>
      <c r="F742" s="1"/>
      <c r="H742" s="3"/>
    </row>
    <row r="743" ht="14.25" customHeight="1">
      <c r="C743" s="1"/>
      <c r="F743" s="1"/>
      <c r="H743" s="3"/>
    </row>
    <row r="744" ht="14.25" customHeight="1">
      <c r="C744" s="1"/>
      <c r="F744" s="1"/>
      <c r="H744" s="3"/>
    </row>
    <row r="745" ht="14.25" customHeight="1">
      <c r="C745" s="1"/>
      <c r="F745" s="1"/>
      <c r="H745" s="3"/>
    </row>
    <row r="746" ht="14.25" customHeight="1">
      <c r="C746" s="1"/>
      <c r="F746" s="1"/>
      <c r="H746" s="3"/>
    </row>
    <row r="747" ht="14.25" customHeight="1">
      <c r="C747" s="1"/>
      <c r="F747" s="1"/>
      <c r="H747" s="3"/>
    </row>
    <row r="748" ht="14.25" customHeight="1">
      <c r="C748" s="1"/>
      <c r="F748" s="1"/>
      <c r="H748" s="3"/>
    </row>
    <row r="749" ht="14.25" customHeight="1">
      <c r="C749" s="1"/>
      <c r="F749" s="1"/>
      <c r="H749" s="3"/>
    </row>
    <row r="750" ht="14.25" customHeight="1">
      <c r="C750" s="1"/>
      <c r="F750" s="1"/>
      <c r="H750" s="3"/>
    </row>
    <row r="751" ht="14.25" customHeight="1">
      <c r="C751" s="1"/>
      <c r="F751" s="1"/>
      <c r="H751" s="3"/>
    </row>
    <row r="752" ht="14.25" customHeight="1">
      <c r="C752" s="1"/>
      <c r="F752" s="1"/>
      <c r="H752" s="3"/>
    </row>
    <row r="753" ht="14.25" customHeight="1">
      <c r="C753" s="1"/>
      <c r="F753" s="1"/>
      <c r="H753" s="3"/>
    </row>
    <row r="754" ht="14.25" customHeight="1">
      <c r="C754" s="1"/>
      <c r="F754" s="1"/>
      <c r="H754" s="3"/>
    </row>
    <row r="755" ht="14.25" customHeight="1">
      <c r="C755" s="1"/>
      <c r="F755" s="1"/>
      <c r="H755" s="3"/>
    </row>
    <row r="756" ht="14.25" customHeight="1">
      <c r="C756" s="1"/>
      <c r="F756" s="1"/>
      <c r="H756" s="3"/>
    </row>
    <row r="757" ht="14.25" customHeight="1">
      <c r="C757" s="1"/>
      <c r="F757" s="1"/>
      <c r="H757" s="3"/>
    </row>
    <row r="758" ht="14.25" customHeight="1">
      <c r="C758" s="1"/>
      <c r="F758" s="1"/>
      <c r="H758" s="3"/>
    </row>
    <row r="759" ht="14.25" customHeight="1">
      <c r="C759" s="1"/>
      <c r="F759" s="1"/>
      <c r="H759" s="3"/>
    </row>
    <row r="760" ht="14.25" customHeight="1">
      <c r="C760" s="1"/>
      <c r="F760" s="1"/>
      <c r="H760" s="3"/>
    </row>
    <row r="761" ht="14.25" customHeight="1">
      <c r="C761" s="1"/>
      <c r="F761" s="1"/>
      <c r="H761" s="3"/>
    </row>
    <row r="762" ht="14.25" customHeight="1">
      <c r="C762" s="1"/>
      <c r="F762" s="1"/>
      <c r="H762" s="3"/>
    </row>
    <row r="763" ht="14.25" customHeight="1">
      <c r="C763" s="1"/>
      <c r="F763" s="1"/>
      <c r="H763" s="3"/>
    </row>
    <row r="764" ht="14.25" customHeight="1">
      <c r="C764" s="1"/>
      <c r="F764" s="1"/>
      <c r="H764" s="3"/>
    </row>
    <row r="765" ht="14.25" customHeight="1">
      <c r="C765" s="1"/>
      <c r="F765" s="1"/>
      <c r="H765" s="3"/>
    </row>
    <row r="766" ht="14.25" customHeight="1">
      <c r="C766" s="1"/>
      <c r="F766" s="1"/>
      <c r="H766" s="3"/>
    </row>
    <row r="767" ht="14.25" customHeight="1">
      <c r="C767" s="1"/>
      <c r="F767" s="1"/>
      <c r="H767" s="3"/>
    </row>
    <row r="768" ht="14.25" customHeight="1">
      <c r="C768" s="1"/>
      <c r="F768" s="1"/>
      <c r="H768" s="3"/>
    </row>
    <row r="769" ht="14.25" customHeight="1">
      <c r="C769" s="1"/>
      <c r="F769" s="1"/>
      <c r="H769" s="3"/>
    </row>
    <row r="770" ht="14.25" customHeight="1">
      <c r="C770" s="1"/>
      <c r="F770" s="1"/>
      <c r="H770" s="3"/>
    </row>
    <row r="771" ht="14.25" customHeight="1">
      <c r="C771" s="1"/>
      <c r="F771" s="1"/>
      <c r="H771" s="3"/>
    </row>
    <row r="772" ht="14.25" customHeight="1">
      <c r="C772" s="1"/>
      <c r="F772" s="1"/>
      <c r="H772" s="3"/>
    </row>
    <row r="773" ht="14.25" customHeight="1">
      <c r="C773" s="1"/>
      <c r="F773" s="1"/>
      <c r="H773" s="3"/>
    </row>
    <row r="774" ht="14.25" customHeight="1">
      <c r="C774" s="1"/>
      <c r="F774" s="1"/>
      <c r="H774" s="3"/>
    </row>
    <row r="775" ht="14.25" customHeight="1">
      <c r="C775" s="1"/>
      <c r="F775" s="1"/>
      <c r="H775" s="3"/>
    </row>
    <row r="776" ht="14.25" customHeight="1">
      <c r="C776" s="1"/>
      <c r="F776" s="1"/>
      <c r="H776" s="3"/>
    </row>
    <row r="777" ht="14.25" customHeight="1">
      <c r="C777" s="1"/>
      <c r="F777" s="1"/>
      <c r="H777" s="3"/>
    </row>
    <row r="778" ht="14.25" customHeight="1">
      <c r="C778" s="1"/>
      <c r="F778" s="1"/>
      <c r="H778" s="3"/>
    </row>
    <row r="779" ht="14.25" customHeight="1">
      <c r="C779" s="1"/>
      <c r="F779" s="1"/>
      <c r="H779" s="3"/>
    </row>
    <row r="780" ht="14.25" customHeight="1">
      <c r="C780" s="1"/>
      <c r="F780" s="1"/>
      <c r="H780" s="3"/>
    </row>
    <row r="781" ht="14.25" customHeight="1">
      <c r="C781" s="1"/>
      <c r="F781" s="1"/>
      <c r="H781" s="3"/>
    </row>
    <row r="782" ht="14.25" customHeight="1">
      <c r="C782" s="1"/>
      <c r="F782" s="1"/>
      <c r="H782" s="3"/>
    </row>
    <row r="783" ht="14.25" customHeight="1">
      <c r="C783" s="1"/>
      <c r="F783" s="1"/>
      <c r="H783" s="3"/>
    </row>
    <row r="784" ht="14.25" customHeight="1">
      <c r="C784" s="1"/>
      <c r="F784" s="1"/>
      <c r="H784" s="3"/>
    </row>
    <row r="785" ht="14.25" customHeight="1">
      <c r="C785" s="1"/>
      <c r="F785" s="1"/>
      <c r="H785" s="3"/>
    </row>
    <row r="786" ht="14.25" customHeight="1">
      <c r="C786" s="1"/>
      <c r="F786" s="1"/>
      <c r="H786" s="3"/>
    </row>
    <row r="787" ht="14.25" customHeight="1">
      <c r="C787" s="1"/>
      <c r="F787" s="1"/>
      <c r="H787" s="3"/>
    </row>
    <row r="788" ht="14.25" customHeight="1">
      <c r="C788" s="1"/>
      <c r="F788" s="1"/>
      <c r="H788" s="3"/>
    </row>
    <row r="789" ht="14.25" customHeight="1">
      <c r="C789" s="1"/>
      <c r="F789" s="1"/>
      <c r="H789" s="3"/>
    </row>
    <row r="790" ht="14.25" customHeight="1">
      <c r="C790" s="1"/>
      <c r="F790" s="1"/>
      <c r="H790" s="3"/>
    </row>
    <row r="791" ht="14.25" customHeight="1">
      <c r="C791" s="1"/>
      <c r="F791" s="1"/>
      <c r="H791" s="3"/>
    </row>
    <row r="792" ht="14.25" customHeight="1">
      <c r="C792" s="1"/>
      <c r="F792" s="1"/>
      <c r="H792" s="3"/>
    </row>
    <row r="793" ht="14.25" customHeight="1">
      <c r="C793" s="1"/>
      <c r="F793" s="1"/>
      <c r="H793" s="3"/>
    </row>
    <row r="794" ht="14.25" customHeight="1">
      <c r="C794" s="1"/>
      <c r="F794" s="1"/>
      <c r="H794" s="3"/>
    </row>
    <row r="795" ht="14.25" customHeight="1">
      <c r="C795" s="1"/>
      <c r="F795" s="1"/>
      <c r="H795" s="3"/>
    </row>
    <row r="796" ht="14.25" customHeight="1">
      <c r="C796" s="1"/>
      <c r="F796" s="1"/>
      <c r="H796" s="3"/>
    </row>
    <row r="797" ht="14.25" customHeight="1">
      <c r="C797" s="1"/>
      <c r="F797" s="1"/>
      <c r="H797" s="3"/>
    </row>
    <row r="798" ht="14.25" customHeight="1">
      <c r="C798" s="1"/>
      <c r="F798" s="1"/>
      <c r="H798" s="3"/>
    </row>
    <row r="799" ht="14.25" customHeight="1">
      <c r="C799" s="1"/>
      <c r="F799" s="1"/>
      <c r="H799" s="3"/>
    </row>
    <row r="800" ht="14.25" customHeight="1">
      <c r="C800" s="1"/>
      <c r="F800" s="1"/>
      <c r="H800" s="3"/>
    </row>
    <row r="801" ht="14.25" customHeight="1">
      <c r="C801" s="1"/>
      <c r="F801" s="1"/>
      <c r="H801" s="3"/>
    </row>
    <row r="802" ht="14.25" customHeight="1">
      <c r="C802" s="1"/>
      <c r="F802" s="1"/>
      <c r="H802" s="3"/>
    </row>
    <row r="803" ht="14.25" customHeight="1">
      <c r="C803" s="1"/>
      <c r="F803" s="1"/>
      <c r="H803" s="3"/>
    </row>
    <row r="804" ht="14.25" customHeight="1">
      <c r="C804" s="1"/>
      <c r="F804" s="1"/>
      <c r="H804" s="3"/>
    </row>
    <row r="805" ht="14.25" customHeight="1">
      <c r="C805" s="1"/>
      <c r="F805" s="1"/>
      <c r="H805" s="3"/>
    </row>
    <row r="806" ht="14.25" customHeight="1">
      <c r="C806" s="1"/>
      <c r="F806" s="1"/>
      <c r="H806" s="3"/>
    </row>
    <row r="807" ht="14.25" customHeight="1">
      <c r="C807" s="1"/>
      <c r="F807" s="1"/>
      <c r="H807" s="3"/>
    </row>
    <row r="808" ht="14.25" customHeight="1">
      <c r="C808" s="1"/>
      <c r="F808" s="1"/>
      <c r="H808" s="3"/>
    </row>
    <row r="809" ht="14.25" customHeight="1">
      <c r="C809" s="1"/>
      <c r="F809" s="1"/>
      <c r="H809" s="3"/>
    </row>
    <row r="810" ht="14.25" customHeight="1">
      <c r="C810" s="1"/>
      <c r="F810" s="1"/>
      <c r="H810" s="3"/>
    </row>
    <row r="811" ht="14.25" customHeight="1">
      <c r="C811" s="1"/>
      <c r="F811" s="1"/>
      <c r="H811" s="3"/>
    </row>
    <row r="812" ht="14.25" customHeight="1">
      <c r="C812" s="1"/>
      <c r="F812" s="1"/>
      <c r="H812" s="3"/>
    </row>
    <row r="813" ht="14.25" customHeight="1">
      <c r="C813" s="1"/>
      <c r="F813" s="1"/>
      <c r="H813" s="3"/>
    </row>
    <row r="814" ht="14.25" customHeight="1">
      <c r="C814" s="1"/>
      <c r="F814" s="1"/>
      <c r="H814" s="3"/>
    </row>
    <row r="815" ht="14.25" customHeight="1">
      <c r="C815" s="1"/>
      <c r="F815" s="1"/>
      <c r="H815" s="3"/>
    </row>
    <row r="816" ht="14.25" customHeight="1">
      <c r="C816" s="1"/>
      <c r="F816" s="1"/>
      <c r="H816" s="3"/>
    </row>
    <row r="817" ht="14.25" customHeight="1">
      <c r="C817" s="1"/>
      <c r="F817" s="1"/>
      <c r="H817" s="3"/>
    </row>
    <row r="818" ht="14.25" customHeight="1">
      <c r="C818" s="1"/>
      <c r="F818" s="1"/>
      <c r="H818" s="3"/>
    </row>
    <row r="819" ht="14.25" customHeight="1">
      <c r="C819" s="1"/>
      <c r="F819" s="1"/>
      <c r="H819" s="3"/>
    </row>
    <row r="820" ht="14.25" customHeight="1">
      <c r="C820" s="1"/>
      <c r="F820" s="1"/>
      <c r="H820" s="3"/>
    </row>
    <row r="821" ht="14.25" customHeight="1">
      <c r="C821" s="1"/>
      <c r="F821" s="1"/>
      <c r="H821" s="3"/>
    </row>
    <row r="822" ht="14.25" customHeight="1">
      <c r="C822" s="1"/>
      <c r="F822" s="1"/>
      <c r="H822" s="3"/>
    </row>
    <row r="823" ht="14.25" customHeight="1">
      <c r="C823" s="1"/>
      <c r="F823" s="1"/>
      <c r="H823" s="3"/>
    </row>
    <row r="824" ht="14.25" customHeight="1">
      <c r="C824" s="1"/>
      <c r="F824" s="1"/>
      <c r="H824" s="3"/>
    </row>
    <row r="825" ht="14.25" customHeight="1">
      <c r="C825" s="1"/>
      <c r="F825" s="1"/>
      <c r="H825" s="3"/>
    </row>
    <row r="826" ht="14.25" customHeight="1">
      <c r="C826" s="1"/>
      <c r="F826" s="1"/>
      <c r="H826" s="3"/>
    </row>
    <row r="827" ht="14.25" customHeight="1">
      <c r="C827" s="1"/>
      <c r="F827" s="1"/>
      <c r="H827" s="3"/>
    </row>
    <row r="828" ht="14.25" customHeight="1">
      <c r="C828" s="1"/>
      <c r="F828" s="1"/>
      <c r="H828" s="3"/>
    </row>
    <row r="829" ht="14.25" customHeight="1">
      <c r="C829" s="1"/>
      <c r="F829" s="1"/>
      <c r="H829" s="3"/>
    </row>
    <row r="830" ht="14.25" customHeight="1">
      <c r="C830" s="1"/>
      <c r="F830" s="1"/>
      <c r="H830" s="3"/>
    </row>
    <row r="831" ht="14.25" customHeight="1">
      <c r="C831" s="1"/>
      <c r="F831" s="1"/>
      <c r="H831" s="3"/>
    </row>
    <row r="832" ht="14.25" customHeight="1">
      <c r="C832" s="1"/>
      <c r="F832" s="1"/>
      <c r="H832" s="3"/>
    </row>
    <row r="833" ht="14.25" customHeight="1">
      <c r="C833" s="1"/>
      <c r="F833" s="1"/>
      <c r="H833" s="3"/>
    </row>
    <row r="834" ht="14.25" customHeight="1">
      <c r="C834" s="1"/>
      <c r="F834" s="1"/>
      <c r="H834" s="3"/>
    </row>
    <row r="835" ht="14.25" customHeight="1">
      <c r="C835" s="1"/>
      <c r="F835" s="1"/>
      <c r="H835" s="3"/>
    </row>
    <row r="836" ht="14.25" customHeight="1">
      <c r="C836" s="1"/>
      <c r="F836" s="1"/>
      <c r="H836" s="3"/>
    </row>
    <row r="837" ht="14.25" customHeight="1">
      <c r="C837" s="1"/>
      <c r="F837" s="1"/>
      <c r="H837" s="3"/>
    </row>
    <row r="838" ht="14.25" customHeight="1">
      <c r="C838" s="1"/>
      <c r="F838" s="1"/>
      <c r="H838" s="3"/>
    </row>
    <row r="839" ht="14.25" customHeight="1">
      <c r="C839" s="1"/>
      <c r="F839" s="1"/>
      <c r="H839" s="3"/>
    </row>
    <row r="840" ht="14.25" customHeight="1">
      <c r="C840" s="1"/>
      <c r="F840" s="1"/>
      <c r="H840" s="3"/>
    </row>
    <row r="841" ht="14.25" customHeight="1">
      <c r="C841" s="1"/>
      <c r="F841" s="1"/>
      <c r="H841" s="3"/>
    </row>
    <row r="842" ht="14.25" customHeight="1">
      <c r="C842" s="1"/>
      <c r="F842" s="1"/>
      <c r="H842" s="3"/>
    </row>
    <row r="843" ht="14.25" customHeight="1">
      <c r="C843" s="1"/>
      <c r="F843" s="1"/>
      <c r="H843" s="3"/>
    </row>
    <row r="844" ht="14.25" customHeight="1">
      <c r="C844" s="1"/>
      <c r="F844" s="1"/>
      <c r="H844" s="3"/>
    </row>
    <row r="845" ht="14.25" customHeight="1">
      <c r="C845" s="1"/>
      <c r="F845" s="1"/>
      <c r="H845" s="3"/>
    </row>
    <row r="846" ht="14.25" customHeight="1">
      <c r="C846" s="1"/>
      <c r="F846" s="1"/>
      <c r="H846" s="3"/>
    </row>
    <row r="847" ht="14.25" customHeight="1">
      <c r="C847" s="1"/>
      <c r="F847" s="1"/>
      <c r="H847" s="3"/>
    </row>
    <row r="848" ht="14.25" customHeight="1">
      <c r="C848" s="1"/>
      <c r="F848" s="1"/>
      <c r="H848" s="3"/>
    </row>
    <row r="849" ht="14.25" customHeight="1">
      <c r="C849" s="1"/>
      <c r="F849" s="1"/>
      <c r="H849" s="3"/>
    </row>
    <row r="850" ht="14.25" customHeight="1">
      <c r="C850" s="1"/>
      <c r="F850" s="1"/>
      <c r="H850" s="3"/>
    </row>
    <row r="851" ht="14.25" customHeight="1">
      <c r="C851" s="1"/>
      <c r="F851" s="1"/>
      <c r="H851" s="3"/>
    </row>
    <row r="852" ht="14.25" customHeight="1">
      <c r="C852" s="1"/>
      <c r="F852" s="1"/>
      <c r="H852" s="3"/>
    </row>
    <row r="853" ht="14.25" customHeight="1">
      <c r="C853" s="1"/>
      <c r="F853" s="1"/>
      <c r="H853" s="3"/>
    </row>
    <row r="854" ht="14.25" customHeight="1">
      <c r="C854" s="1"/>
      <c r="F854" s="1"/>
      <c r="H854" s="3"/>
    </row>
    <row r="855" ht="14.25" customHeight="1">
      <c r="C855" s="1"/>
      <c r="F855" s="1"/>
      <c r="H855" s="3"/>
    </row>
    <row r="856" ht="14.25" customHeight="1">
      <c r="C856" s="1"/>
      <c r="F856" s="1"/>
      <c r="H856" s="3"/>
    </row>
    <row r="857" ht="14.25" customHeight="1">
      <c r="C857" s="1"/>
      <c r="F857" s="1"/>
      <c r="H857" s="3"/>
    </row>
    <row r="858" ht="14.25" customHeight="1">
      <c r="C858" s="1"/>
      <c r="F858" s="1"/>
      <c r="H858" s="3"/>
    </row>
    <row r="859" ht="14.25" customHeight="1">
      <c r="C859" s="1"/>
      <c r="F859" s="1"/>
      <c r="H859" s="3"/>
    </row>
    <row r="860" ht="14.25" customHeight="1">
      <c r="C860" s="1"/>
      <c r="F860" s="1"/>
      <c r="H860" s="3"/>
    </row>
    <row r="861" ht="14.25" customHeight="1">
      <c r="C861" s="1"/>
      <c r="F861" s="1"/>
      <c r="H861" s="3"/>
    </row>
    <row r="862" ht="14.25" customHeight="1">
      <c r="C862" s="1"/>
      <c r="F862" s="1"/>
      <c r="H862" s="3"/>
    </row>
    <row r="863" ht="14.25" customHeight="1">
      <c r="C863" s="1"/>
      <c r="F863" s="1"/>
      <c r="H863" s="3"/>
    </row>
    <row r="864" ht="14.25" customHeight="1">
      <c r="C864" s="1"/>
      <c r="F864" s="1"/>
      <c r="H864" s="3"/>
    </row>
    <row r="865" ht="14.25" customHeight="1">
      <c r="C865" s="1"/>
      <c r="F865" s="1"/>
      <c r="H865" s="3"/>
    </row>
    <row r="866" ht="14.25" customHeight="1">
      <c r="C866" s="1"/>
      <c r="F866" s="1"/>
      <c r="H866" s="3"/>
    </row>
    <row r="867" ht="14.25" customHeight="1">
      <c r="C867" s="1"/>
      <c r="F867" s="1"/>
      <c r="H867" s="3"/>
    </row>
    <row r="868" ht="14.25" customHeight="1">
      <c r="C868" s="1"/>
      <c r="F868" s="1"/>
      <c r="H868" s="3"/>
    </row>
    <row r="869" ht="14.25" customHeight="1">
      <c r="C869" s="1"/>
      <c r="F869" s="1"/>
      <c r="H869" s="3"/>
    </row>
    <row r="870" ht="14.25" customHeight="1">
      <c r="C870" s="1"/>
      <c r="F870" s="1"/>
      <c r="H870" s="3"/>
    </row>
    <row r="871" ht="14.25" customHeight="1">
      <c r="C871" s="1"/>
      <c r="F871" s="1"/>
      <c r="H871" s="3"/>
    </row>
    <row r="872" ht="14.25" customHeight="1">
      <c r="C872" s="1"/>
      <c r="F872" s="1"/>
      <c r="H872" s="3"/>
    </row>
    <row r="873" ht="14.25" customHeight="1">
      <c r="C873" s="1"/>
      <c r="F873" s="1"/>
      <c r="H873" s="3"/>
    </row>
    <row r="874" ht="14.25" customHeight="1">
      <c r="C874" s="1"/>
      <c r="F874" s="1"/>
      <c r="H874" s="3"/>
    </row>
    <row r="875" ht="14.25" customHeight="1">
      <c r="C875" s="1"/>
      <c r="F875" s="1"/>
      <c r="H875" s="3"/>
    </row>
    <row r="876" ht="14.25" customHeight="1">
      <c r="C876" s="1"/>
      <c r="F876" s="1"/>
      <c r="H876" s="3"/>
    </row>
    <row r="877" ht="14.25" customHeight="1">
      <c r="C877" s="1"/>
      <c r="F877" s="1"/>
      <c r="H877" s="3"/>
    </row>
    <row r="878" ht="14.25" customHeight="1">
      <c r="C878" s="1"/>
      <c r="F878" s="1"/>
      <c r="H878" s="3"/>
    </row>
    <row r="879" ht="14.25" customHeight="1">
      <c r="C879" s="1"/>
      <c r="F879" s="1"/>
      <c r="H879" s="3"/>
    </row>
    <row r="880" ht="14.25" customHeight="1">
      <c r="C880" s="1"/>
      <c r="F880" s="1"/>
      <c r="H880" s="3"/>
    </row>
    <row r="881" ht="14.25" customHeight="1">
      <c r="C881" s="1"/>
      <c r="F881" s="1"/>
      <c r="H881" s="3"/>
    </row>
    <row r="882" ht="14.25" customHeight="1">
      <c r="C882" s="1"/>
      <c r="F882" s="1"/>
      <c r="H882" s="3"/>
    </row>
    <row r="883" ht="14.25" customHeight="1">
      <c r="C883" s="1"/>
      <c r="F883" s="1"/>
      <c r="H883" s="3"/>
    </row>
    <row r="884" ht="14.25" customHeight="1">
      <c r="C884" s="1"/>
      <c r="F884" s="1"/>
      <c r="H884" s="3"/>
    </row>
    <row r="885" ht="14.25" customHeight="1">
      <c r="C885" s="1"/>
      <c r="F885" s="1"/>
      <c r="H885" s="3"/>
    </row>
    <row r="886" ht="14.25" customHeight="1">
      <c r="C886" s="1"/>
      <c r="F886" s="1"/>
      <c r="H886" s="3"/>
    </row>
    <row r="887" ht="14.25" customHeight="1">
      <c r="C887" s="1"/>
      <c r="F887" s="1"/>
      <c r="H887" s="3"/>
    </row>
    <row r="888" ht="14.25" customHeight="1">
      <c r="C888" s="1"/>
      <c r="F888" s="1"/>
      <c r="H888" s="3"/>
    </row>
    <row r="889" ht="14.25" customHeight="1">
      <c r="C889" s="1"/>
      <c r="F889" s="1"/>
      <c r="H889" s="3"/>
    </row>
    <row r="890" ht="14.25" customHeight="1">
      <c r="C890" s="1"/>
      <c r="F890" s="1"/>
      <c r="H890" s="3"/>
    </row>
    <row r="891" ht="14.25" customHeight="1">
      <c r="C891" s="1"/>
      <c r="F891" s="1"/>
      <c r="H891" s="3"/>
    </row>
    <row r="892" ht="14.25" customHeight="1">
      <c r="C892" s="1"/>
      <c r="F892" s="1"/>
      <c r="H892" s="3"/>
    </row>
    <row r="893" ht="14.25" customHeight="1">
      <c r="C893" s="1"/>
      <c r="F893" s="1"/>
      <c r="H893" s="3"/>
    </row>
    <row r="894" ht="14.25" customHeight="1">
      <c r="C894" s="1"/>
      <c r="F894" s="1"/>
      <c r="H894" s="3"/>
    </row>
    <row r="895" ht="14.25" customHeight="1">
      <c r="C895" s="1"/>
      <c r="F895" s="1"/>
      <c r="H895" s="3"/>
    </row>
    <row r="896" ht="14.25" customHeight="1">
      <c r="C896" s="1"/>
      <c r="F896" s="1"/>
      <c r="H896" s="3"/>
    </row>
    <row r="897" ht="14.25" customHeight="1">
      <c r="C897" s="1"/>
      <c r="F897" s="1"/>
      <c r="H897" s="3"/>
    </row>
    <row r="898" ht="14.25" customHeight="1">
      <c r="C898" s="1"/>
      <c r="F898" s="1"/>
      <c r="H898" s="3"/>
    </row>
    <row r="899" ht="14.25" customHeight="1">
      <c r="C899" s="1"/>
      <c r="F899" s="1"/>
      <c r="H899" s="3"/>
    </row>
    <row r="900" ht="14.25" customHeight="1">
      <c r="C900" s="1"/>
      <c r="F900" s="1"/>
      <c r="H900" s="3"/>
    </row>
    <row r="901" ht="14.25" customHeight="1">
      <c r="C901" s="1"/>
      <c r="F901" s="1"/>
      <c r="H901" s="3"/>
    </row>
    <row r="902" ht="14.25" customHeight="1">
      <c r="C902" s="1"/>
      <c r="F902" s="1"/>
      <c r="H902" s="3"/>
    </row>
    <row r="903" ht="14.25" customHeight="1">
      <c r="C903" s="1"/>
      <c r="F903" s="1"/>
      <c r="H903" s="3"/>
    </row>
    <row r="904" ht="14.25" customHeight="1">
      <c r="C904" s="1"/>
      <c r="F904" s="1"/>
      <c r="H904" s="3"/>
    </row>
    <row r="905" ht="14.25" customHeight="1">
      <c r="C905" s="1"/>
      <c r="F905" s="1"/>
      <c r="H905" s="3"/>
    </row>
    <row r="906" ht="14.25" customHeight="1">
      <c r="C906" s="1"/>
      <c r="F906" s="1"/>
      <c r="H906" s="3"/>
    </row>
    <row r="907" ht="14.25" customHeight="1">
      <c r="C907" s="1"/>
      <c r="F907" s="1"/>
      <c r="H907" s="3"/>
    </row>
    <row r="908" ht="14.25" customHeight="1">
      <c r="C908" s="1"/>
      <c r="F908" s="1"/>
      <c r="H908" s="3"/>
    </row>
    <row r="909" ht="14.25" customHeight="1">
      <c r="C909" s="1"/>
      <c r="F909" s="1"/>
      <c r="H909" s="3"/>
    </row>
    <row r="910" ht="14.25" customHeight="1">
      <c r="C910" s="1"/>
      <c r="F910" s="1"/>
      <c r="H910" s="3"/>
    </row>
    <row r="911" ht="14.25" customHeight="1">
      <c r="C911" s="1"/>
      <c r="F911" s="1"/>
      <c r="H911" s="3"/>
    </row>
    <row r="912" ht="14.25" customHeight="1">
      <c r="C912" s="1"/>
      <c r="F912" s="1"/>
      <c r="H912" s="3"/>
    </row>
    <row r="913" ht="14.25" customHeight="1">
      <c r="C913" s="1"/>
      <c r="F913" s="1"/>
      <c r="H913" s="3"/>
    </row>
    <row r="914" ht="14.25" customHeight="1">
      <c r="C914" s="1"/>
      <c r="F914" s="1"/>
      <c r="H914" s="3"/>
    </row>
    <row r="915" ht="14.25" customHeight="1">
      <c r="C915" s="1"/>
      <c r="F915" s="1"/>
      <c r="H915" s="3"/>
    </row>
    <row r="916" ht="14.25" customHeight="1">
      <c r="C916" s="1"/>
      <c r="F916" s="1"/>
      <c r="H916" s="3"/>
    </row>
    <row r="917" ht="14.25" customHeight="1">
      <c r="C917" s="1"/>
      <c r="F917" s="1"/>
      <c r="H917" s="3"/>
    </row>
    <row r="918" ht="14.25" customHeight="1">
      <c r="C918" s="1"/>
      <c r="F918" s="1"/>
      <c r="H918" s="3"/>
    </row>
    <row r="919" ht="14.25" customHeight="1">
      <c r="C919" s="1"/>
      <c r="F919" s="1"/>
      <c r="H919" s="3"/>
    </row>
    <row r="920" ht="14.25" customHeight="1">
      <c r="C920" s="1"/>
      <c r="F920" s="1"/>
      <c r="H920" s="3"/>
    </row>
    <row r="921" ht="14.25" customHeight="1">
      <c r="C921" s="1"/>
      <c r="F921" s="1"/>
      <c r="H921" s="3"/>
    </row>
    <row r="922" ht="14.25" customHeight="1">
      <c r="C922" s="1"/>
      <c r="F922" s="1"/>
      <c r="H922" s="3"/>
    </row>
    <row r="923" ht="14.25" customHeight="1">
      <c r="C923" s="1"/>
      <c r="F923" s="1"/>
      <c r="H923" s="3"/>
    </row>
    <row r="924" ht="14.25" customHeight="1">
      <c r="C924" s="1"/>
      <c r="F924" s="1"/>
      <c r="H924" s="3"/>
    </row>
    <row r="925" ht="14.25" customHeight="1">
      <c r="C925" s="1"/>
      <c r="F925" s="1"/>
      <c r="H925" s="3"/>
    </row>
    <row r="926" ht="14.25" customHeight="1">
      <c r="C926" s="1"/>
      <c r="F926" s="1"/>
      <c r="H926" s="3"/>
    </row>
    <row r="927" ht="14.25" customHeight="1">
      <c r="C927" s="1"/>
      <c r="F927" s="1"/>
      <c r="H927" s="3"/>
    </row>
    <row r="928" ht="14.25" customHeight="1">
      <c r="C928" s="1"/>
      <c r="F928" s="1"/>
      <c r="H928" s="3"/>
    </row>
    <row r="929" ht="14.25" customHeight="1">
      <c r="C929" s="1"/>
      <c r="F929" s="1"/>
      <c r="H929" s="3"/>
    </row>
    <row r="930" ht="14.25" customHeight="1">
      <c r="C930" s="1"/>
      <c r="F930" s="1"/>
      <c r="H930" s="3"/>
    </row>
    <row r="931" ht="14.25" customHeight="1">
      <c r="C931" s="1"/>
      <c r="F931" s="1"/>
      <c r="H931" s="3"/>
    </row>
    <row r="932" ht="14.25" customHeight="1">
      <c r="C932" s="1"/>
      <c r="F932" s="1"/>
      <c r="H932" s="3"/>
    </row>
    <row r="933" ht="14.25" customHeight="1">
      <c r="C933" s="1"/>
      <c r="F933" s="1"/>
      <c r="H933" s="3"/>
    </row>
    <row r="934" ht="14.25" customHeight="1">
      <c r="C934" s="1"/>
      <c r="F934" s="1"/>
      <c r="H934" s="3"/>
    </row>
    <row r="935" ht="14.25" customHeight="1">
      <c r="C935" s="1"/>
      <c r="F935" s="1"/>
      <c r="H935" s="3"/>
    </row>
    <row r="936" ht="14.25" customHeight="1">
      <c r="C936" s="1"/>
      <c r="F936" s="1"/>
      <c r="H936" s="3"/>
    </row>
    <row r="937" ht="14.25" customHeight="1">
      <c r="C937" s="1"/>
      <c r="F937" s="1"/>
      <c r="H937" s="3"/>
    </row>
    <row r="938" ht="14.25" customHeight="1">
      <c r="C938" s="1"/>
      <c r="F938" s="1"/>
      <c r="H938" s="3"/>
    </row>
    <row r="939" ht="14.25" customHeight="1">
      <c r="C939" s="1"/>
      <c r="F939" s="1"/>
      <c r="H939" s="3"/>
    </row>
    <row r="940" ht="14.25" customHeight="1">
      <c r="C940" s="1"/>
      <c r="F940" s="1"/>
      <c r="H940" s="3"/>
    </row>
    <row r="941" ht="14.25" customHeight="1">
      <c r="C941" s="1"/>
      <c r="F941" s="1"/>
      <c r="H941" s="3"/>
    </row>
    <row r="942" ht="14.25" customHeight="1">
      <c r="C942" s="1"/>
      <c r="F942" s="1"/>
      <c r="H942" s="3"/>
    </row>
    <row r="943" ht="14.25" customHeight="1">
      <c r="C943" s="1"/>
      <c r="F943" s="1"/>
      <c r="H943" s="3"/>
    </row>
    <row r="944" ht="14.25" customHeight="1">
      <c r="C944" s="1"/>
      <c r="F944" s="1"/>
      <c r="H944" s="3"/>
    </row>
    <row r="945" ht="14.25" customHeight="1">
      <c r="C945" s="1"/>
      <c r="F945" s="1"/>
      <c r="H945" s="3"/>
    </row>
    <row r="946" ht="14.25" customHeight="1">
      <c r="C946" s="1"/>
      <c r="F946" s="1"/>
      <c r="H946" s="3"/>
    </row>
    <row r="947" ht="14.25" customHeight="1">
      <c r="C947" s="1"/>
      <c r="F947" s="1"/>
      <c r="H947" s="3"/>
    </row>
    <row r="948" ht="14.25" customHeight="1">
      <c r="C948" s="1"/>
      <c r="F948" s="1"/>
      <c r="H948" s="3"/>
    </row>
    <row r="949" ht="14.25" customHeight="1">
      <c r="C949" s="1"/>
      <c r="F949" s="1"/>
      <c r="H949" s="3"/>
    </row>
    <row r="950" ht="14.25" customHeight="1">
      <c r="C950" s="1"/>
      <c r="F950" s="1"/>
      <c r="H950" s="3"/>
    </row>
    <row r="951" ht="14.25" customHeight="1">
      <c r="C951" s="1"/>
      <c r="F951" s="1"/>
      <c r="H951" s="3"/>
    </row>
    <row r="952" ht="14.25" customHeight="1">
      <c r="C952" s="1"/>
      <c r="F952" s="1"/>
      <c r="H952" s="3"/>
    </row>
    <row r="953" ht="14.25" customHeight="1">
      <c r="C953" s="1"/>
      <c r="F953" s="1"/>
      <c r="H953" s="3"/>
    </row>
    <row r="954" ht="14.25" customHeight="1">
      <c r="C954" s="1"/>
      <c r="F954" s="1"/>
      <c r="H954" s="3"/>
    </row>
    <row r="955" ht="14.25" customHeight="1">
      <c r="C955" s="1"/>
      <c r="F955" s="1"/>
      <c r="H955" s="3"/>
    </row>
    <row r="956" ht="14.25" customHeight="1">
      <c r="C956" s="1"/>
      <c r="F956" s="1"/>
      <c r="H956" s="3"/>
    </row>
    <row r="957" ht="14.25" customHeight="1">
      <c r="C957" s="1"/>
      <c r="F957" s="1"/>
      <c r="H957" s="3"/>
    </row>
    <row r="958" ht="14.25" customHeight="1">
      <c r="C958" s="1"/>
      <c r="F958" s="1"/>
      <c r="H958" s="3"/>
    </row>
    <row r="959" ht="14.25" customHeight="1">
      <c r="C959" s="1"/>
      <c r="F959" s="1"/>
      <c r="H959" s="3"/>
    </row>
    <row r="960" ht="14.25" customHeight="1">
      <c r="C960" s="1"/>
      <c r="F960" s="1"/>
      <c r="H960" s="3"/>
    </row>
    <row r="961" ht="14.25" customHeight="1">
      <c r="C961" s="1"/>
      <c r="F961" s="1"/>
      <c r="H961" s="3"/>
    </row>
    <row r="962" ht="14.25" customHeight="1">
      <c r="C962" s="1"/>
      <c r="F962" s="1"/>
      <c r="H962" s="3"/>
    </row>
    <row r="963" ht="14.25" customHeight="1">
      <c r="C963" s="1"/>
      <c r="F963" s="1"/>
      <c r="H963" s="3"/>
    </row>
    <row r="964" ht="14.25" customHeight="1">
      <c r="C964" s="1"/>
      <c r="F964" s="1"/>
      <c r="H964" s="3"/>
    </row>
    <row r="965" ht="14.25" customHeight="1">
      <c r="C965" s="1"/>
      <c r="F965" s="1"/>
      <c r="H965" s="3"/>
    </row>
    <row r="966" ht="14.25" customHeight="1">
      <c r="C966" s="1"/>
      <c r="F966" s="1"/>
      <c r="H966" s="3"/>
    </row>
    <row r="967" ht="14.25" customHeight="1">
      <c r="C967" s="1"/>
      <c r="F967" s="1"/>
      <c r="H967" s="3"/>
    </row>
    <row r="968" ht="14.25" customHeight="1">
      <c r="C968" s="1"/>
      <c r="F968" s="1"/>
      <c r="H968" s="3"/>
    </row>
    <row r="969" ht="14.25" customHeight="1">
      <c r="C969" s="1"/>
      <c r="F969" s="1"/>
      <c r="H969" s="3"/>
    </row>
    <row r="970" ht="14.25" customHeight="1">
      <c r="C970" s="1"/>
      <c r="F970" s="1"/>
      <c r="H970" s="3"/>
    </row>
    <row r="971" ht="14.25" customHeight="1">
      <c r="C971" s="1"/>
      <c r="F971" s="1"/>
      <c r="H971" s="3"/>
    </row>
    <row r="972" ht="14.25" customHeight="1">
      <c r="C972" s="1"/>
      <c r="F972" s="1"/>
      <c r="H972" s="3"/>
    </row>
    <row r="973" ht="14.25" customHeight="1">
      <c r="C973" s="1"/>
      <c r="F973" s="1"/>
      <c r="H973" s="3"/>
    </row>
    <row r="974" ht="14.25" customHeight="1">
      <c r="C974" s="1"/>
      <c r="F974" s="1"/>
      <c r="H974" s="3"/>
    </row>
    <row r="975" ht="14.25" customHeight="1">
      <c r="C975" s="1"/>
      <c r="F975" s="1"/>
      <c r="H975" s="3"/>
    </row>
    <row r="976" ht="14.25" customHeight="1">
      <c r="C976" s="1"/>
      <c r="F976" s="1"/>
      <c r="H976" s="3"/>
    </row>
    <row r="977" ht="14.25" customHeight="1">
      <c r="C977" s="1"/>
      <c r="F977" s="1"/>
      <c r="H977" s="3"/>
    </row>
    <row r="978" ht="14.25" customHeight="1">
      <c r="C978" s="1"/>
      <c r="F978" s="1"/>
      <c r="H978" s="3"/>
    </row>
    <row r="979" ht="14.25" customHeight="1">
      <c r="C979" s="1"/>
      <c r="F979" s="1"/>
      <c r="H979" s="3"/>
    </row>
    <row r="980" ht="14.25" customHeight="1">
      <c r="C980" s="1"/>
      <c r="F980" s="1"/>
      <c r="H980" s="3"/>
    </row>
    <row r="981" ht="14.25" customHeight="1">
      <c r="C981" s="1"/>
      <c r="F981" s="1"/>
      <c r="H981" s="3"/>
    </row>
    <row r="982" ht="14.25" customHeight="1">
      <c r="C982" s="1"/>
      <c r="F982" s="1"/>
      <c r="H982" s="3"/>
    </row>
    <row r="983" ht="14.25" customHeight="1">
      <c r="C983" s="1"/>
      <c r="F983" s="1"/>
      <c r="H983" s="3"/>
    </row>
    <row r="984" ht="14.25" customHeight="1">
      <c r="C984" s="1"/>
      <c r="F984" s="1"/>
      <c r="H984" s="3"/>
    </row>
    <row r="985" ht="14.25" customHeight="1">
      <c r="C985" s="1"/>
      <c r="F985" s="1"/>
      <c r="H985" s="3"/>
    </row>
    <row r="986" ht="14.25" customHeight="1">
      <c r="C986" s="1"/>
      <c r="F986" s="1"/>
      <c r="H986" s="3"/>
    </row>
    <row r="987" ht="14.25" customHeight="1">
      <c r="C987" s="1"/>
      <c r="F987" s="1"/>
      <c r="H987" s="3"/>
    </row>
    <row r="988" ht="14.25" customHeight="1">
      <c r="C988" s="1"/>
      <c r="F988" s="1"/>
      <c r="H988" s="3"/>
    </row>
    <row r="989" ht="14.25" customHeight="1">
      <c r="C989" s="1"/>
      <c r="F989" s="1"/>
      <c r="H989" s="3"/>
    </row>
    <row r="990" ht="14.25" customHeight="1">
      <c r="C990" s="1"/>
      <c r="F990" s="1"/>
      <c r="H990" s="3"/>
    </row>
    <row r="991" ht="14.25" customHeight="1">
      <c r="C991" s="1"/>
      <c r="F991" s="1"/>
      <c r="H991" s="3"/>
    </row>
    <row r="992" ht="14.25" customHeight="1">
      <c r="C992" s="1"/>
      <c r="F992" s="1"/>
      <c r="H992" s="3"/>
    </row>
    <row r="993" ht="14.25" customHeight="1">
      <c r="C993" s="1"/>
      <c r="F993" s="1"/>
      <c r="H993" s="3"/>
    </row>
    <row r="994" ht="14.25" customHeight="1">
      <c r="C994" s="1"/>
      <c r="F994" s="1"/>
      <c r="H994" s="3"/>
    </row>
    <row r="995" ht="14.25" customHeight="1">
      <c r="C995" s="1"/>
      <c r="F995" s="1"/>
      <c r="H995" s="3"/>
    </row>
    <row r="996" ht="14.25" customHeight="1">
      <c r="C996" s="1"/>
      <c r="F996" s="1"/>
      <c r="H996" s="3"/>
    </row>
    <row r="997" ht="14.25" customHeight="1">
      <c r="C997" s="1"/>
      <c r="F997" s="1"/>
      <c r="H997" s="3"/>
    </row>
    <row r="998" ht="14.25" customHeight="1">
      <c r="C998" s="1"/>
      <c r="F998" s="1"/>
      <c r="H998" s="3"/>
    </row>
    <row r="999" ht="14.25" customHeight="1">
      <c r="C999" s="1"/>
      <c r="F999" s="1"/>
      <c r="H999" s="3"/>
    </row>
    <row r="1000" ht="14.25" customHeight="1">
      <c r="C1000" s="1"/>
      <c r="F1000" s="1"/>
      <c r="H1000" s="3"/>
    </row>
    <row r="1001" ht="14.25" customHeight="1">
      <c r="C1001" s="1"/>
      <c r="F1001" s="1"/>
      <c r="H1001" s="3"/>
    </row>
    <row r="1002" ht="14.25" customHeight="1">
      <c r="C1002" s="1"/>
      <c r="F1002" s="1"/>
      <c r="H1002" s="3"/>
    </row>
    <row r="1003" ht="14.25" customHeight="1">
      <c r="C1003" s="1"/>
      <c r="F1003" s="1"/>
      <c r="H1003" s="3"/>
    </row>
    <row r="1004" ht="14.25" customHeight="1">
      <c r="C1004" s="1"/>
      <c r="F1004" s="1"/>
      <c r="H1004" s="3"/>
    </row>
    <row r="1005" ht="14.25" customHeight="1">
      <c r="C1005" s="1"/>
      <c r="F1005" s="1"/>
      <c r="H1005" s="3"/>
    </row>
    <row r="1006" ht="14.25" customHeight="1">
      <c r="C1006" s="1"/>
      <c r="F1006" s="1"/>
      <c r="H1006" s="3"/>
    </row>
    <row r="1007" ht="14.25" customHeight="1">
      <c r="C1007" s="1"/>
      <c r="F1007" s="1"/>
      <c r="H1007" s="3"/>
    </row>
    <row r="1008" ht="14.25" customHeight="1">
      <c r="C1008" s="1"/>
      <c r="F1008" s="1"/>
      <c r="H1008" s="3"/>
    </row>
    <row r="1009" ht="14.25" customHeight="1">
      <c r="C1009" s="1"/>
      <c r="F1009" s="1"/>
      <c r="H1009" s="3"/>
    </row>
    <row r="1010" ht="14.25" customHeight="1">
      <c r="C1010" s="1"/>
      <c r="F1010" s="1"/>
      <c r="H1010" s="3"/>
    </row>
    <row r="1011" ht="14.25" customHeight="1">
      <c r="C1011" s="1"/>
      <c r="F1011" s="1"/>
      <c r="H1011" s="3"/>
    </row>
    <row r="1012" ht="14.25" customHeight="1">
      <c r="C1012" s="1"/>
      <c r="F1012" s="1"/>
      <c r="H1012" s="3"/>
    </row>
    <row r="1013" ht="14.25" customHeight="1">
      <c r="C1013" s="1"/>
      <c r="F1013" s="1"/>
      <c r="H1013" s="3"/>
    </row>
    <row r="1014" ht="14.25" customHeight="1">
      <c r="C1014" s="1"/>
      <c r="F1014" s="1"/>
      <c r="H1014" s="3"/>
    </row>
    <row r="1015" ht="14.25" customHeight="1">
      <c r="C1015" s="1"/>
      <c r="F1015" s="1"/>
      <c r="H1015" s="3"/>
    </row>
    <row r="1016" ht="14.25" customHeight="1">
      <c r="C1016" s="1"/>
      <c r="F1016" s="1"/>
      <c r="H1016" s="3"/>
    </row>
    <row r="1017" ht="14.25" customHeight="1">
      <c r="C1017" s="1"/>
      <c r="F1017" s="1"/>
      <c r="H1017" s="3"/>
    </row>
    <row r="1018" ht="14.25" customHeight="1">
      <c r="F1018" s="1"/>
      <c r="H1018" s="3"/>
    </row>
  </sheetData>
  <mergeCells count="6">
    <mergeCell ref="A3:B3"/>
    <mergeCell ref="C3:E3"/>
    <mergeCell ref="F3:H3"/>
    <mergeCell ref="J22:K22"/>
    <mergeCell ref="C27:D27"/>
    <mergeCell ref="F27:G27"/>
  </mergeCells>
  <conditionalFormatting sqref="E27">
    <cfRule type="colorScale" priority="1">
      <colorScale>
        <cfvo type="formula" val="70000"/>
        <cfvo type="formula" val="75000"/>
        <cfvo type="formula" val="80000"/>
        <color rgb="FF57BB8A"/>
        <color rgb="FFFFD966"/>
        <color rgb="FFE06666"/>
      </colorScale>
    </cfRule>
  </conditionalFormatting>
  <conditionalFormatting sqref="H27">
    <cfRule type="colorScale" priority="2">
      <colorScale>
        <cfvo type="formula" val="50000"/>
        <cfvo type="formula" val="55000"/>
        <cfvo type="formula" val="60000"/>
        <color rgb="FFEA9999"/>
        <color rgb="FFFFD966"/>
        <color rgb="FF93C47D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7.63"/>
    <col customWidth="1" min="3" max="3" width="12.5"/>
    <col customWidth="1" min="4" max="23" width="7.63"/>
  </cols>
  <sheetData>
    <row r="1" ht="14.25" customHeight="1">
      <c r="A1" s="109" t="s">
        <v>86</v>
      </c>
      <c r="B1" s="109" t="s">
        <v>7</v>
      </c>
      <c r="C1" s="109" t="s">
        <v>87</v>
      </c>
    </row>
    <row r="2" ht="14.25" customHeight="1">
      <c r="A2" s="110" t="s">
        <v>88</v>
      </c>
      <c r="B2" s="110"/>
      <c r="C2" s="111"/>
    </row>
    <row r="3" ht="14.25" customHeight="1">
      <c r="A3" s="110" t="s">
        <v>89</v>
      </c>
      <c r="B3" s="110"/>
      <c r="C3" s="112"/>
    </row>
    <row r="4" ht="14.25" customHeight="1">
      <c r="A4" s="110" t="s">
        <v>90</v>
      </c>
      <c r="B4" s="110"/>
      <c r="C4" s="112"/>
    </row>
    <row r="5" ht="14.25" customHeight="1">
      <c r="A5" s="110" t="s">
        <v>91</v>
      </c>
      <c r="B5" s="110"/>
      <c r="C5" s="112"/>
    </row>
    <row r="6" ht="14.25" customHeight="1">
      <c r="A6" s="112" t="s">
        <v>23</v>
      </c>
      <c r="B6" s="110"/>
      <c r="C6" s="112"/>
      <c r="H6" s="113"/>
      <c r="I6" s="113"/>
      <c r="K6" s="113"/>
      <c r="L6" s="113"/>
    </row>
    <row r="7" ht="14.25" customHeight="1">
      <c r="A7" s="110" t="s">
        <v>92</v>
      </c>
      <c r="B7" s="110"/>
      <c r="C7" s="112"/>
      <c r="E7" s="113"/>
      <c r="H7" s="113"/>
      <c r="I7" s="113"/>
      <c r="K7" s="113"/>
      <c r="L7" s="113"/>
    </row>
    <row r="8" ht="14.25" customHeight="1">
      <c r="A8" s="110" t="s">
        <v>93</v>
      </c>
      <c r="B8" s="110"/>
      <c r="C8" s="112"/>
      <c r="E8" s="113"/>
    </row>
    <row r="9" ht="14.25" customHeight="1">
      <c r="A9" s="110" t="s">
        <v>94</v>
      </c>
      <c r="B9" s="110"/>
      <c r="C9" s="110"/>
      <c r="E9" s="113"/>
    </row>
    <row r="10" ht="14.25" customHeight="1">
      <c r="A10" s="110" t="s">
        <v>95</v>
      </c>
      <c r="B10" s="110"/>
      <c r="C10" s="112"/>
    </row>
    <row r="11" ht="14.25" customHeight="1">
      <c r="A11" s="114" t="s">
        <v>96</v>
      </c>
      <c r="B11" s="110"/>
      <c r="C11" s="115"/>
    </row>
    <row r="12" ht="14.25" customHeight="1">
      <c r="A12" s="109" t="s">
        <v>19</v>
      </c>
      <c r="B12" s="112">
        <f>SUM(B2:B11)</f>
        <v>0</v>
      </c>
      <c r="C12" s="11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0"/>
    <col customWidth="1" min="2" max="5" width="7.63"/>
    <col customWidth="1" min="6" max="6" width="27.75"/>
    <col customWidth="1" min="7" max="9" width="7.63"/>
    <col customWidth="1" min="10" max="10" width="12.88"/>
    <col customWidth="1" min="11" max="13" width="7.63"/>
    <col customWidth="1" min="14" max="14" width="15.5"/>
    <col customWidth="1" min="15" max="17" width="7.63"/>
    <col customWidth="1" min="18" max="18" width="12.0"/>
    <col customWidth="1" min="19" max="26" width="7.63"/>
  </cols>
  <sheetData>
    <row r="1" ht="14.25" customHeight="1">
      <c r="A1" s="116" t="s">
        <v>97</v>
      </c>
      <c r="B1" s="117" t="s">
        <v>7</v>
      </c>
      <c r="C1" s="116" t="s">
        <v>87</v>
      </c>
      <c r="E1" s="118" t="s">
        <v>87</v>
      </c>
      <c r="F1" s="119" t="s">
        <v>98</v>
      </c>
      <c r="G1" s="120" t="s">
        <v>7</v>
      </c>
      <c r="H1" s="82"/>
      <c r="I1" s="121" t="s">
        <v>87</v>
      </c>
      <c r="J1" s="122" t="s">
        <v>99</v>
      </c>
      <c r="K1" s="123" t="s">
        <v>7</v>
      </c>
      <c r="L1" s="82"/>
      <c r="M1" s="124" t="s">
        <v>87</v>
      </c>
      <c r="N1" s="125" t="s">
        <v>100</v>
      </c>
      <c r="O1" s="126" t="s">
        <v>7</v>
      </c>
      <c r="Q1" s="127" t="s">
        <v>87</v>
      </c>
      <c r="R1" s="128" t="s">
        <v>101</v>
      </c>
      <c r="S1" s="129" t="s">
        <v>7</v>
      </c>
    </row>
    <row r="2" ht="14.25" customHeight="1">
      <c r="A2" s="112" t="s">
        <v>102</v>
      </c>
      <c r="B2" s="112"/>
      <c r="C2" s="112"/>
      <c r="E2" s="130">
        <v>1.0</v>
      </c>
      <c r="F2" s="131"/>
      <c r="G2" s="132"/>
      <c r="H2" s="82"/>
      <c r="I2" s="130">
        <v>1.0</v>
      </c>
      <c r="J2" s="131"/>
      <c r="K2" s="132"/>
      <c r="L2" s="82"/>
      <c r="M2" s="130">
        <v>1.0</v>
      </c>
      <c r="N2" s="131"/>
      <c r="O2" s="132"/>
      <c r="Q2" s="130">
        <v>1.0</v>
      </c>
      <c r="R2" s="131"/>
      <c r="S2" s="132"/>
    </row>
    <row r="3" ht="14.25" customHeight="1">
      <c r="A3" s="133" t="s">
        <v>103</v>
      </c>
      <c r="B3" s="112">
        <f>O33</f>
        <v>0</v>
      </c>
      <c r="C3" s="134"/>
      <c r="E3" s="130">
        <v>2.0</v>
      </c>
      <c r="F3" s="131"/>
      <c r="G3" s="132"/>
      <c r="H3" s="82"/>
      <c r="I3" s="130">
        <v>2.0</v>
      </c>
      <c r="J3" s="131"/>
      <c r="K3" s="132"/>
      <c r="L3" s="82"/>
      <c r="M3" s="130">
        <v>2.0</v>
      </c>
      <c r="N3" s="135"/>
      <c r="O3" s="136"/>
      <c r="Q3" s="130">
        <v>2.0</v>
      </c>
      <c r="R3" s="131"/>
      <c r="S3" s="132"/>
    </row>
    <row r="4" ht="14.25" customHeight="1">
      <c r="A4" s="137" t="s">
        <v>104</v>
      </c>
      <c r="B4" s="47">
        <f>K33</f>
        <v>0</v>
      </c>
      <c r="C4" s="138"/>
      <c r="E4" s="130">
        <v>3.0</v>
      </c>
      <c r="F4" s="131"/>
      <c r="G4" s="132"/>
      <c r="H4" s="82"/>
      <c r="I4" s="130">
        <v>3.0</v>
      </c>
      <c r="J4" s="131"/>
      <c r="K4" s="132"/>
      <c r="L4" s="82"/>
      <c r="M4" s="130">
        <v>3.0</v>
      </c>
      <c r="N4" s="131"/>
      <c r="O4" s="136"/>
      <c r="Q4" s="130">
        <v>3.0</v>
      </c>
      <c r="R4" s="131"/>
      <c r="S4" s="132"/>
    </row>
    <row r="5" ht="14.25" customHeight="1">
      <c r="A5" s="139" t="s">
        <v>105</v>
      </c>
      <c r="B5" s="112">
        <f>G33</f>
        <v>0</v>
      </c>
      <c r="C5" s="140"/>
      <c r="E5" s="130">
        <v>4.0</v>
      </c>
      <c r="F5" s="131"/>
      <c r="G5" s="132"/>
      <c r="H5" s="82"/>
      <c r="I5" s="130">
        <v>4.0</v>
      </c>
      <c r="J5" s="135"/>
      <c r="K5" s="132"/>
      <c r="L5" s="82"/>
      <c r="M5" s="130">
        <v>4.0</v>
      </c>
      <c r="N5" s="131"/>
      <c r="O5" s="132"/>
      <c r="Q5" s="141">
        <v>4.0</v>
      </c>
      <c r="R5" s="142"/>
      <c r="S5" s="143"/>
    </row>
    <row r="6" ht="14.25" customHeight="1">
      <c r="A6" s="144" t="s">
        <v>106</v>
      </c>
      <c r="B6" s="112">
        <f>S6</f>
        <v>0</v>
      </c>
      <c r="C6" s="112"/>
      <c r="E6" s="130">
        <v>5.0</v>
      </c>
      <c r="F6" s="131"/>
      <c r="G6" s="132"/>
      <c r="H6" s="82"/>
      <c r="I6" s="130">
        <v>5.0</v>
      </c>
      <c r="J6" s="131"/>
      <c r="K6" s="132"/>
      <c r="L6" s="82"/>
      <c r="M6" s="130">
        <v>5.0</v>
      </c>
      <c r="N6" s="131"/>
      <c r="O6" s="132"/>
      <c r="Q6" s="145" t="s">
        <v>19</v>
      </c>
      <c r="R6" s="146"/>
      <c r="S6" s="147">
        <f>sum(S2:S5)</f>
        <v>0</v>
      </c>
    </row>
    <row r="7" ht="14.25" customHeight="1">
      <c r="A7" s="112" t="s">
        <v>107</v>
      </c>
      <c r="B7" s="112"/>
      <c r="C7" s="112"/>
      <c r="E7" s="130">
        <v>6.0</v>
      </c>
      <c r="F7" s="131"/>
      <c r="G7" s="132"/>
      <c r="H7" s="82"/>
      <c r="I7" s="130">
        <v>6.0</v>
      </c>
      <c r="J7" s="131"/>
      <c r="K7" s="132"/>
      <c r="L7" s="82"/>
      <c r="M7" s="130">
        <v>6.0</v>
      </c>
      <c r="N7" s="131"/>
      <c r="O7" s="132"/>
    </row>
    <row r="8" ht="14.25" customHeight="1">
      <c r="A8" s="109" t="s">
        <v>19</v>
      </c>
      <c r="B8" s="115">
        <f>SUM(B2:B7)</f>
        <v>0</v>
      </c>
      <c r="C8" s="115"/>
      <c r="E8" s="130">
        <v>7.0</v>
      </c>
      <c r="F8" s="131"/>
      <c r="G8" s="132"/>
      <c r="H8" s="82"/>
      <c r="I8" s="130">
        <v>7.0</v>
      </c>
      <c r="J8" s="131"/>
      <c r="K8" s="132"/>
      <c r="L8" s="82"/>
      <c r="M8" s="130">
        <v>7.0</v>
      </c>
      <c r="N8" s="135"/>
      <c r="O8" s="136"/>
    </row>
    <row r="9" ht="14.25" customHeight="1">
      <c r="E9" s="130">
        <v>8.0</v>
      </c>
      <c r="F9" s="131"/>
      <c r="G9" s="132"/>
      <c r="H9" s="82"/>
      <c r="I9" s="130">
        <v>8.0</v>
      </c>
      <c r="J9" s="131"/>
      <c r="K9" s="132"/>
      <c r="L9" s="82"/>
      <c r="M9" s="130">
        <v>8.0</v>
      </c>
      <c r="N9" s="135"/>
      <c r="O9" s="132"/>
    </row>
    <row r="10" ht="14.25" customHeight="1">
      <c r="E10" s="130">
        <v>9.0</v>
      </c>
      <c r="F10" s="131"/>
      <c r="G10" s="132"/>
      <c r="H10" s="82"/>
      <c r="I10" s="130">
        <v>9.0</v>
      </c>
      <c r="J10" s="131"/>
      <c r="K10" s="132"/>
      <c r="L10" s="82"/>
      <c r="M10" s="130">
        <v>9.0</v>
      </c>
      <c r="N10" s="135"/>
      <c r="O10" s="132"/>
    </row>
    <row r="11" ht="14.25" customHeight="1">
      <c r="E11" s="130">
        <v>10.0</v>
      </c>
      <c r="F11" s="131"/>
      <c r="G11" s="132"/>
      <c r="H11" s="82"/>
      <c r="I11" s="130">
        <v>10.0</v>
      </c>
      <c r="J11" s="135"/>
      <c r="K11" s="132"/>
      <c r="L11" s="82"/>
      <c r="M11" s="130">
        <v>10.0</v>
      </c>
      <c r="N11" s="135"/>
      <c r="O11" s="136"/>
    </row>
    <row r="12" ht="14.25" customHeight="1">
      <c r="E12" s="130">
        <v>11.0</v>
      </c>
      <c r="F12" s="131"/>
      <c r="G12" s="132"/>
      <c r="H12" s="82"/>
      <c r="I12" s="130">
        <v>11.0</v>
      </c>
      <c r="J12" s="131"/>
      <c r="K12" s="132"/>
      <c r="L12" s="82"/>
      <c r="M12" s="130">
        <v>11.0</v>
      </c>
      <c r="N12" s="135"/>
      <c r="O12" s="136"/>
    </row>
    <row r="13" ht="14.25" customHeight="1">
      <c r="E13" s="130">
        <v>12.0</v>
      </c>
      <c r="F13" s="131"/>
      <c r="G13" s="132"/>
      <c r="H13" s="82"/>
      <c r="I13" s="130">
        <v>12.0</v>
      </c>
      <c r="J13" s="131"/>
      <c r="K13" s="132"/>
      <c r="L13" s="82"/>
      <c r="M13" s="130">
        <v>12.0</v>
      </c>
      <c r="N13" s="135"/>
      <c r="O13" s="136"/>
    </row>
    <row r="14" ht="14.25" customHeight="1">
      <c r="E14" s="130">
        <v>13.0</v>
      </c>
      <c r="F14" s="148"/>
      <c r="G14" s="132"/>
      <c r="H14" s="82"/>
      <c r="I14" s="130">
        <v>13.0</v>
      </c>
      <c r="J14" s="131"/>
      <c r="K14" s="132"/>
      <c r="L14" s="82"/>
      <c r="M14" s="130">
        <v>13.0</v>
      </c>
      <c r="N14" s="135"/>
      <c r="O14" s="136"/>
    </row>
    <row r="15" ht="14.25" customHeight="1">
      <c r="E15" s="130">
        <v>14.0</v>
      </c>
      <c r="F15" s="131"/>
      <c r="G15" s="132"/>
      <c r="H15" s="82"/>
      <c r="I15" s="130">
        <v>14.0</v>
      </c>
      <c r="J15" s="135"/>
      <c r="K15" s="136"/>
      <c r="L15" s="82"/>
      <c r="M15" s="130">
        <v>14.0</v>
      </c>
      <c r="N15" s="135"/>
      <c r="O15" s="136"/>
    </row>
    <row r="16" ht="14.25" customHeight="1">
      <c r="E16" s="130">
        <v>15.0</v>
      </c>
      <c r="F16" s="135"/>
      <c r="G16" s="136"/>
      <c r="H16" s="82"/>
      <c r="I16" s="130">
        <v>15.0</v>
      </c>
      <c r="J16" s="131"/>
      <c r="K16" s="132"/>
      <c r="L16" s="82"/>
      <c r="M16" s="130">
        <v>15.0</v>
      </c>
      <c r="N16" s="135"/>
      <c r="O16" s="136"/>
    </row>
    <row r="17" ht="14.25" customHeight="1">
      <c r="E17" s="130">
        <v>16.0</v>
      </c>
      <c r="F17" s="131"/>
      <c r="G17" s="132"/>
      <c r="H17" s="82"/>
      <c r="I17" s="130">
        <v>16.0</v>
      </c>
      <c r="J17" s="131"/>
      <c r="K17" s="132"/>
      <c r="L17" s="82"/>
      <c r="M17" s="130">
        <v>16.0</v>
      </c>
      <c r="N17" s="131"/>
      <c r="O17" s="132"/>
    </row>
    <row r="18" ht="14.25" customHeight="1">
      <c r="E18" s="130">
        <v>17.0</v>
      </c>
      <c r="F18" s="135"/>
      <c r="G18" s="132"/>
      <c r="H18" s="82"/>
      <c r="I18" s="130">
        <v>17.0</v>
      </c>
      <c r="J18" s="135"/>
      <c r="K18" s="136"/>
      <c r="L18" s="82"/>
      <c r="M18" s="130">
        <v>17.0</v>
      </c>
      <c r="N18" s="135"/>
      <c r="O18" s="136"/>
    </row>
    <row r="19" ht="14.25" customHeight="1">
      <c r="E19" s="130">
        <v>18.0</v>
      </c>
      <c r="F19" s="135"/>
      <c r="G19" s="136"/>
      <c r="H19" s="82"/>
      <c r="I19" s="130">
        <v>18.0</v>
      </c>
      <c r="J19" s="131"/>
      <c r="K19" s="132"/>
      <c r="L19" s="82"/>
      <c r="M19" s="130">
        <v>18.0</v>
      </c>
      <c r="N19" s="135"/>
      <c r="O19" s="136"/>
    </row>
    <row r="20" ht="14.25" customHeight="1">
      <c r="E20" s="130">
        <v>19.0</v>
      </c>
      <c r="F20" s="135"/>
      <c r="G20" s="132"/>
      <c r="H20" s="82"/>
      <c r="I20" s="130">
        <v>19.0</v>
      </c>
      <c r="J20" s="131"/>
      <c r="K20" s="132"/>
      <c r="L20" s="82"/>
      <c r="M20" s="130">
        <v>19.0</v>
      </c>
      <c r="N20" s="135"/>
      <c r="O20" s="136"/>
    </row>
    <row r="21" ht="14.25" customHeight="1">
      <c r="E21" s="130">
        <v>20.0</v>
      </c>
      <c r="F21" s="131"/>
      <c r="G21" s="132"/>
      <c r="H21" s="82"/>
      <c r="I21" s="130">
        <v>20.0</v>
      </c>
      <c r="J21" s="131"/>
      <c r="K21" s="132"/>
      <c r="L21" s="82"/>
      <c r="M21" s="130">
        <v>20.0</v>
      </c>
      <c r="N21" s="135"/>
      <c r="O21" s="136"/>
    </row>
    <row r="22" ht="14.25" customHeight="1">
      <c r="E22" s="130">
        <v>21.0</v>
      </c>
      <c r="F22" s="148"/>
      <c r="G22" s="132"/>
      <c r="H22" s="82"/>
      <c r="I22" s="130">
        <v>21.0</v>
      </c>
      <c r="J22" s="131"/>
      <c r="K22" s="132"/>
      <c r="L22" s="82"/>
      <c r="M22" s="130">
        <v>21.0</v>
      </c>
      <c r="N22" s="135"/>
      <c r="O22" s="136"/>
    </row>
    <row r="23" ht="14.25" customHeight="1">
      <c r="E23" s="130">
        <v>22.0</v>
      </c>
      <c r="F23" s="135"/>
      <c r="G23" s="136"/>
      <c r="H23" s="82"/>
      <c r="I23" s="130">
        <v>22.0</v>
      </c>
      <c r="J23" s="131"/>
      <c r="K23" s="132"/>
      <c r="L23" s="82"/>
      <c r="M23" s="130">
        <v>22.0</v>
      </c>
      <c r="N23" s="135"/>
      <c r="O23" s="136"/>
    </row>
    <row r="24" ht="14.25" customHeight="1">
      <c r="E24" s="130">
        <v>23.0</v>
      </c>
      <c r="F24" s="131"/>
      <c r="G24" s="132"/>
      <c r="H24" s="82"/>
      <c r="I24" s="130">
        <v>23.0</v>
      </c>
      <c r="J24" s="135"/>
      <c r="K24" s="136"/>
      <c r="L24" s="82"/>
      <c r="M24" s="130">
        <v>23.0</v>
      </c>
      <c r="N24" s="135"/>
      <c r="O24" s="136"/>
    </row>
    <row r="25" ht="14.25" customHeight="1">
      <c r="E25" s="130">
        <v>24.0</v>
      </c>
      <c r="F25" s="148"/>
      <c r="G25" s="132"/>
      <c r="H25" s="82"/>
      <c r="I25" s="130">
        <v>24.0</v>
      </c>
      <c r="J25" s="131"/>
      <c r="K25" s="132"/>
      <c r="L25" s="82"/>
      <c r="M25" s="130">
        <v>24.0</v>
      </c>
      <c r="N25" s="135"/>
      <c r="O25" s="136"/>
    </row>
    <row r="26" ht="14.25" customHeight="1">
      <c r="E26" s="130">
        <v>25.0</v>
      </c>
      <c r="F26" s="135"/>
      <c r="G26" s="132"/>
      <c r="H26" s="82"/>
      <c r="I26" s="130">
        <v>25.0</v>
      </c>
      <c r="J26" s="131"/>
      <c r="K26" s="132"/>
      <c r="L26" s="82"/>
      <c r="M26" s="130">
        <v>25.0</v>
      </c>
      <c r="N26" s="135"/>
      <c r="O26" s="136"/>
    </row>
    <row r="27" ht="14.25" customHeight="1">
      <c r="E27" s="130">
        <v>26.0</v>
      </c>
      <c r="F27" s="131"/>
      <c r="G27" s="132"/>
      <c r="H27" s="82"/>
      <c r="I27" s="130">
        <v>26.0</v>
      </c>
      <c r="J27" s="131"/>
      <c r="K27" s="132"/>
      <c r="L27" s="82"/>
      <c r="M27" s="130">
        <v>26.0</v>
      </c>
      <c r="N27" s="135"/>
      <c r="O27" s="136"/>
    </row>
    <row r="28" ht="14.25" customHeight="1">
      <c r="E28" s="130">
        <v>27.0</v>
      </c>
      <c r="F28" s="131"/>
      <c r="G28" s="132"/>
      <c r="H28" s="82"/>
      <c r="I28" s="130">
        <v>27.0</v>
      </c>
      <c r="J28" s="131"/>
      <c r="K28" s="132"/>
      <c r="L28" s="82"/>
      <c r="M28" s="130">
        <v>27.0</v>
      </c>
      <c r="N28" s="135"/>
      <c r="O28" s="136"/>
    </row>
    <row r="29" ht="14.25" customHeight="1">
      <c r="E29" s="130">
        <v>28.0</v>
      </c>
      <c r="F29" s="135"/>
      <c r="G29" s="136"/>
      <c r="H29" s="82"/>
      <c r="I29" s="130">
        <v>28.0</v>
      </c>
      <c r="J29" s="135"/>
      <c r="K29" s="136"/>
      <c r="L29" s="82"/>
      <c r="M29" s="130">
        <v>28.0</v>
      </c>
      <c r="N29" s="135"/>
      <c r="O29" s="136"/>
    </row>
    <row r="30" ht="14.25" customHeight="1">
      <c r="E30" s="130">
        <v>29.0</v>
      </c>
      <c r="F30" s="135"/>
      <c r="G30" s="136"/>
      <c r="H30" s="82"/>
      <c r="I30" s="130">
        <v>29.0</v>
      </c>
      <c r="J30" s="135"/>
      <c r="K30" s="136"/>
      <c r="L30" s="82"/>
      <c r="M30" s="130">
        <v>29.0</v>
      </c>
      <c r="N30" s="135"/>
      <c r="O30" s="136"/>
    </row>
    <row r="31" ht="14.25" customHeight="1">
      <c r="E31" s="130">
        <v>30.0</v>
      </c>
      <c r="F31" s="135"/>
      <c r="G31" s="136"/>
      <c r="H31" s="82"/>
      <c r="I31" s="130">
        <v>30.0</v>
      </c>
      <c r="J31" s="135"/>
      <c r="K31" s="136"/>
      <c r="L31" s="82"/>
      <c r="M31" s="130">
        <v>30.0</v>
      </c>
      <c r="N31" s="135"/>
      <c r="O31" s="136"/>
    </row>
    <row r="32" ht="14.25" customHeight="1">
      <c r="E32" s="141">
        <v>31.0</v>
      </c>
      <c r="F32" s="149"/>
      <c r="G32" s="143"/>
      <c r="H32" s="82"/>
      <c r="I32" s="141">
        <v>31.0</v>
      </c>
      <c r="J32" s="142"/>
      <c r="K32" s="143"/>
      <c r="L32" s="82"/>
      <c r="M32" s="130">
        <v>31.0</v>
      </c>
      <c r="N32" s="135"/>
      <c r="O32" s="136"/>
    </row>
    <row r="33" ht="14.25" customHeight="1">
      <c r="E33" s="80"/>
      <c r="F33" s="150" t="s">
        <v>108</v>
      </c>
      <c r="G33" s="151">
        <f>SUM(G2:G32)</f>
        <v>0</v>
      </c>
      <c r="H33" s="82"/>
      <c r="I33" s="80"/>
      <c r="J33" s="150" t="s">
        <v>109</v>
      </c>
      <c r="K33" s="151">
        <f>SUM(K2:K32)</f>
        <v>0</v>
      </c>
      <c r="L33" s="82"/>
      <c r="M33" s="80"/>
      <c r="N33" s="150" t="s">
        <v>110</v>
      </c>
      <c r="O33" s="151">
        <f>SUM(O2:O32)</f>
        <v>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Q6:R6"/>
  </mergeCells>
  <conditionalFormatting sqref="K26">
    <cfRule type="cellIs" dxfId="0" priority="1" operator="lessThan">
      <formula>1</formula>
    </cfRule>
  </conditionalFormatting>
  <conditionalFormatting sqref="G33">
    <cfRule type="colorScale" priority="2">
      <colorScale>
        <cfvo type="formula" val="2000"/>
        <cfvo type="formula" val="2300"/>
        <cfvo type="formula" val="2700"/>
        <color rgb="FFB6D7A8"/>
        <color rgb="FFFFE599"/>
        <color rgb="FFCC0000"/>
      </colorScale>
    </cfRule>
  </conditionalFormatting>
  <conditionalFormatting sqref="J36">
    <cfRule type="notContainsBlanks" dxfId="1" priority="3">
      <formula>LEN(TRIM(J36))&gt;0</formula>
    </cfRule>
  </conditionalFormatting>
  <conditionalFormatting sqref="K33">
    <cfRule type="colorScale" priority="4">
      <colorScale>
        <cfvo type="formula" val="1500"/>
        <cfvo type="formula" val="2000"/>
        <cfvo type="formula" val="2500"/>
        <color rgb="FFB6D7A8"/>
        <color rgb="FFFFE599"/>
        <color rgb="FFEA9999"/>
      </colorScale>
    </cfRule>
  </conditionalFormatting>
  <conditionalFormatting sqref="O33">
    <cfRule type="colorScale" priority="5">
      <colorScale>
        <cfvo type="formula" val="2000"/>
        <cfvo type="formula" val="2300"/>
        <cfvo type="formula" val="2700"/>
        <color rgb="FFB6D7A8"/>
        <color rgb="FFFFE599"/>
        <color rgb="FFEA9999"/>
      </colorScale>
    </cfRule>
  </conditionalFormatting>
  <conditionalFormatting sqref="S6">
    <cfRule type="colorScale" priority="6">
      <colorScale>
        <cfvo type="formula" val="500"/>
        <cfvo type="formula" val="600"/>
        <cfvo type="formula" val="700"/>
        <color rgb="FFB6D7A8"/>
        <color rgb="FFFFE599"/>
        <color rgb="FFEA9999"/>
      </colorScale>
    </cfRule>
  </conditionalFormatting>
  <conditionalFormatting sqref="G2:G32">
    <cfRule type="cellIs" dxfId="2" priority="7" operator="lessThan">
      <formula>1</formula>
    </cfRule>
  </conditionalFormatting>
  <conditionalFormatting sqref="K2:K25 O2:O11 K27:K32">
    <cfRule type="cellIs" dxfId="2" priority="8" operator="lessThan">
      <formula>1</formula>
    </cfRule>
  </conditionalFormatting>
  <conditionalFormatting sqref="O2:O32">
    <cfRule type="cellIs" dxfId="2" priority="9" operator="lessThan">
      <formula>1</formula>
    </cfRule>
  </conditionalFormatting>
  <dataValidations>
    <dataValidation type="list" allowBlank="1" showErrorMessage="1" sqref="F2:F32">
      <formula1>"Rice,Dal,Necafe3in1,Spices,Tea"</formula1>
    </dataValidation>
    <dataValidation type="list" allowBlank="1" showErrorMessage="1" sqref="J2:J32">
      <formula1>"Banana,Coconut,Gouva,veg"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4" width="7.63"/>
    <col customWidth="1" min="5" max="5" width="8.88"/>
    <col customWidth="1" min="6" max="6" width="22.0"/>
    <col customWidth="1" min="7" max="8" width="7.63"/>
    <col customWidth="1" min="9" max="9" width="12.25"/>
    <col customWidth="1" min="10" max="10" width="21.63"/>
    <col customWidth="1" min="11" max="13" width="7.63"/>
    <col customWidth="1" min="14" max="14" width="29.38"/>
    <col customWidth="1" min="15" max="17" width="7.63"/>
    <col customWidth="1" min="18" max="18" width="13.63"/>
    <col customWidth="1" min="19" max="26" width="7.63"/>
  </cols>
  <sheetData>
    <row r="1" ht="14.25" customHeight="1">
      <c r="A1" s="109" t="s">
        <v>97</v>
      </c>
      <c r="B1" s="152" t="s">
        <v>7</v>
      </c>
      <c r="C1" s="109" t="s">
        <v>87</v>
      </c>
      <c r="E1" s="153" t="s">
        <v>87</v>
      </c>
      <c r="F1" s="154" t="s">
        <v>111</v>
      </c>
      <c r="G1" s="155" t="s">
        <v>7</v>
      </c>
      <c r="H1" s="82"/>
      <c r="I1" s="156" t="s">
        <v>87</v>
      </c>
      <c r="J1" s="157" t="s">
        <v>112</v>
      </c>
      <c r="K1" s="158" t="s">
        <v>7</v>
      </c>
      <c r="M1" s="159" t="s">
        <v>87</v>
      </c>
      <c r="N1" s="160" t="s">
        <v>113</v>
      </c>
      <c r="O1" s="161" t="s">
        <v>7</v>
      </c>
      <c r="Q1" s="159" t="s">
        <v>87</v>
      </c>
      <c r="R1" s="162" t="s">
        <v>114</v>
      </c>
      <c r="S1" s="161" t="s">
        <v>7</v>
      </c>
    </row>
    <row r="2" ht="14.25" customHeight="1">
      <c r="A2" s="112" t="s">
        <v>114</v>
      </c>
      <c r="B2" s="112"/>
      <c r="C2" s="112"/>
      <c r="E2" s="130">
        <v>1.0</v>
      </c>
      <c r="F2" s="131"/>
      <c r="G2" s="132"/>
      <c r="H2" s="82"/>
      <c r="I2" s="130">
        <v>1.0</v>
      </c>
      <c r="J2" s="131"/>
      <c r="K2" s="132"/>
      <c r="M2" s="163">
        <v>1.0</v>
      </c>
      <c r="N2" s="164"/>
      <c r="O2" s="132"/>
      <c r="Q2" s="163">
        <v>1.0</v>
      </c>
      <c r="R2" s="164"/>
      <c r="S2" s="165"/>
    </row>
    <row r="3" ht="14.25" customHeight="1">
      <c r="A3" s="166" t="s">
        <v>112</v>
      </c>
      <c r="B3" s="112">
        <f>K33</f>
        <v>0</v>
      </c>
      <c r="C3" s="112"/>
      <c r="E3" s="130">
        <v>2.0</v>
      </c>
      <c r="F3" s="167"/>
      <c r="G3" s="132"/>
      <c r="H3" s="82"/>
      <c r="I3" s="130">
        <v>2.0</v>
      </c>
      <c r="J3" s="131"/>
      <c r="K3" s="132"/>
      <c r="M3" s="163">
        <v>2.0</v>
      </c>
      <c r="N3" s="168"/>
      <c r="O3" s="169"/>
      <c r="Q3" s="163">
        <v>2.0</v>
      </c>
      <c r="R3" s="168"/>
      <c r="S3" s="170"/>
    </row>
    <row r="4" ht="14.25" customHeight="1">
      <c r="A4" s="171" t="s">
        <v>115</v>
      </c>
      <c r="B4" s="112">
        <f>G33</f>
        <v>0</v>
      </c>
      <c r="C4" s="112"/>
      <c r="E4" s="130">
        <v>3.0</v>
      </c>
      <c r="F4" s="131"/>
      <c r="G4" s="132"/>
      <c r="H4" s="82"/>
      <c r="I4" s="130">
        <v>3.0</v>
      </c>
      <c r="J4" s="131"/>
      <c r="K4" s="132"/>
      <c r="M4" s="163">
        <v>3.0</v>
      </c>
      <c r="N4" s="172"/>
      <c r="O4" s="173"/>
      <c r="Q4" s="163">
        <v>3.0</v>
      </c>
      <c r="R4" s="172"/>
      <c r="S4" s="174"/>
    </row>
    <row r="5" ht="14.25" customHeight="1">
      <c r="A5" s="110" t="s">
        <v>114</v>
      </c>
      <c r="B5" s="112">
        <f>S33</f>
        <v>0</v>
      </c>
      <c r="C5" s="112"/>
      <c r="E5" s="130">
        <v>4.0</v>
      </c>
      <c r="F5" s="167"/>
      <c r="G5" s="132"/>
      <c r="H5" s="82"/>
      <c r="I5" s="130">
        <v>4.0</v>
      </c>
      <c r="J5" s="131"/>
      <c r="K5" s="132"/>
      <c r="M5" s="163">
        <v>4.0</v>
      </c>
      <c r="N5" s="168"/>
      <c r="O5" s="169"/>
      <c r="Q5" s="163">
        <v>4.0</v>
      </c>
      <c r="R5" s="168"/>
      <c r="S5" s="170"/>
    </row>
    <row r="6" ht="14.25" customHeight="1">
      <c r="A6" s="112"/>
      <c r="B6" s="112"/>
      <c r="C6" s="112"/>
      <c r="E6" s="130">
        <v>5.0</v>
      </c>
      <c r="F6" s="131"/>
      <c r="G6" s="132"/>
      <c r="H6" s="82"/>
      <c r="I6" s="130">
        <v>5.0</v>
      </c>
      <c r="J6" s="131"/>
      <c r="K6" s="132"/>
      <c r="M6" s="163">
        <v>5.0</v>
      </c>
      <c r="N6" s="168"/>
      <c r="O6" s="169"/>
      <c r="Q6" s="163">
        <v>5.0</v>
      </c>
      <c r="R6" s="168"/>
      <c r="S6" s="170"/>
    </row>
    <row r="7" ht="14.25" customHeight="1">
      <c r="A7" s="112"/>
      <c r="B7" s="112"/>
      <c r="C7" s="112"/>
      <c r="E7" s="130">
        <v>6.0</v>
      </c>
      <c r="F7" s="131"/>
      <c r="G7" s="132"/>
      <c r="H7" s="82"/>
      <c r="I7" s="130">
        <v>6.0</v>
      </c>
      <c r="J7" s="131"/>
      <c r="K7" s="132"/>
      <c r="M7" s="163">
        <v>6.0</v>
      </c>
      <c r="N7" s="175"/>
      <c r="O7" s="169"/>
      <c r="Q7" s="163">
        <v>6.0</v>
      </c>
      <c r="R7" s="175"/>
      <c r="S7" s="176"/>
    </row>
    <row r="8" ht="14.25" customHeight="1">
      <c r="A8" s="109" t="s">
        <v>19</v>
      </c>
      <c r="B8" s="115">
        <f>SUM(B2:B7)</f>
        <v>0</v>
      </c>
      <c r="C8" s="115"/>
      <c r="E8" s="130">
        <v>7.0</v>
      </c>
      <c r="F8" s="131"/>
      <c r="G8" s="132"/>
      <c r="H8" s="82"/>
      <c r="I8" s="130">
        <v>7.0</v>
      </c>
      <c r="J8" s="131"/>
      <c r="K8" s="132"/>
      <c r="M8" s="163">
        <v>7.0</v>
      </c>
      <c r="N8" s="177"/>
      <c r="O8" s="169"/>
      <c r="Q8" s="163">
        <v>7.0</v>
      </c>
      <c r="R8" s="178"/>
      <c r="S8" s="179"/>
    </row>
    <row r="9" ht="14.25" customHeight="1">
      <c r="E9" s="130">
        <v>8.0</v>
      </c>
      <c r="F9" s="131"/>
      <c r="G9" s="132"/>
      <c r="H9" s="82"/>
      <c r="I9" s="130">
        <v>8.0</v>
      </c>
      <c r="J9" s="131"/>
      <c r="K9" s="132"/>
      <c r="M9" s="163">
        <v>8.0</v>
      </c>
      <c r="N9" s="178"/>
      <c r="O9" s="180"/>
      <c r="Q9" s="163">
        <v>8.0</v>
      </c>
      <c r="R9" s="178"/>
      <c r="S9" s="179"/>
    </row>
    <row r="10" ht="14.25" customHeight="1">
      <c r="E10" s="130">
        <v>9.0</v>
      </c>
      <c r="F10" s="131"/>
      <c r="G10" s="132"/>
      <c r="H10" s="82"/>
      <c r="I10" s="130">
        <v>9.0</v>
      </c>
      <c r="J10" s="135"/>
      <c r="K10" s="136"/>
      <c r="M10" s="163">
        <v>9.0</v>
      </c>
      <c r="N10" s="178"/>
      <c r="O10" s="180"/>
      <c r="Q10" s="163">
        <v>9.0</v>
      </c>
      <c r="R10" s="178"/>
      <c r="S10" s="179"/>
    </row>
    <row r="11" ht="14.25" customHeight="1">
      <c r="E11" s="130">
        <v>10.0</v>
      </c>
      <c r="F11" s="131"/>
      <c r="G11" s="132"/>
      <c r="H11" s="82"/>
      <c r="I11" s="130">
        <v>10.0</v>
      </c>
      <c r="J11" s="135"/>
      <c r="K11" s="136"/>
      <c r="M11" s="163">
        <v>10.0</v>
      </c>
      <c r="N11" s="178"/>
      <c r="O11" s="180"/>
      <c r="Q11" s="163">
        <v>10.0</v>
      </c>
      <c r="R11" s="178"/>
      <c r="S11" s="179"/>
    </row>
    <row r="12" ht="14.25" customHeight="1">
      <c r="E12" s="130">
        <v>11.0</v>
      </c>
      <c r="F12" s="131"/>
      <c r="G12" s="132"/>
      <c r="H12" s="82"/>
      <c r="I12" s="130">
        <v>11.0</v>
      </c>
      <c r="J12" s="148"/>
      <c r="K12" s="132"/>
      <c r="M12" s="163">
        <v>11.0</v>
      </c>
      <c r="N12" s="178"/>
      <c r="O12" s="180"/>
      <c r="Q12" s="163">
        <v>11.0</v>
      </c>
      <c r="R12" s="178"/>
      <c r="S12" s="179"/>
    </row>
    <row r="13" ht="14.25" customHeight="1">
      <c r="E13" s="130">
        <v>12.0</v>
      </c>
      <c r="F13" s="131"/>
      <c r="G13" s="132"/>
      <c r="H13" s="82"/>
      <c r="I13" s="130">
        <v>12.0</v>
      </c>
      <c r="J13" s="135"/>
      <c r="K13" s="136"/>
      <c r="M13" s="163">
        <v>12.0</v>
      </c>
      <c r="N13" s="177"/>
      <c r="O13" s="169"/>
      <c r="Q13" s="163">
        <v>12.0</v>
      </c>
      <c r="R13" s="177"/>
      <c r="S13" s="176"/>
    </row>
    <row r="14" ht="14.25" customHeight="1">
      <c r="E14" s="130">
        <v>13.0</v>
      </c>
      <c r="F14" s="131"/>
      <c r="G14" s="132"/>
      <c r="H14" s="82"/>
      <c r="I14" s="130">
        <v>13.0</v>
      </c>
      <c r="J14" s="135"/>
      <c r="K14" s="136"/>
      <c r="M14" s="163">
        <v>13.0</v>
      </c>
      <c r="N14" s="178"/>
      <c r="O14" s="180"/>
      <c r="Q14" s="163">
        <v>13.0</v>
      </c>
      <c r="R14" s="178"/>
      <c r="S14" s="179"/>
    </row>
    <row r="15" ht="14.25" customHeight="1">
      <c r="E15" s="130">
        <v>14.0</v>
      </c>
      <c r="F15" s="131"/>
      <c r="G15" s="132"/>
      <c r="H15" s="82"/>
      <c r="I15" s="130">
        <v>14.0</v>
      </c>
      <c r="J15" s="135"/>
      <c r="K15" s="136"/>
      <c r="M15" s="163">
        <v>14.0</v>
      </c>
      <c r="N15" s="178"/>
      <c r="O15" s="180"/>
      <c r="Q15" s="163">
        <v>14.0</v>
      </c>
      <c r="R15" s="178"/>
      <c r="S15" s="179"/>
    </row>
    <row r="16" ht="14.25" customHeight="1">
      <c r="E16" s="130">
        <v>15.0</v>
      </c>
      <c r="F16" s="131"/>
      <c r="G16" s="132"/>
      <c r="H16" s="82"/>
      <c r="I16" s="130">
        <v>15.0</v>
      </c>
      <c r="J16" s="131"/>
      <c r="K16" s="132"/>
      <c r="M16" s="163">
        <v>15.0</v>
      </c>
      <c r="N16" s="181"/>
      <c r="O16" s="180"/>
      <c r="Q16" s="163">
        <v>15.0</v>
      </c>
      <c r="R16" s="181"/>
      <c r="S16" s="179"/>
    </row>
    <row r="17" ht="14.25" customHeight="1">
      <c r="E17" s="130">
        <v>16.0</v>
      </c>
      <c r="F17" s="131"/>
      <c r="G17" s="132"/>
      <c r="H17" s="82"/>
      <c r="I17" s="130">
        <v>16.0</v>
      </c>
      <c r="J17" s="131"/>
      <c r="K17" s="132"/>
      <c r="M17" s="163">
        <v>16.0</v>
      </c>
      <c r="N17" s="178"/>
      <c r="O17" s="180"/>
      <c r="Q17" s="163">
        <v>16.0</v>
      </c>
      <c r="R17" s="178"/>
      <c r="S17" s="179"/>
    </row>
    <row r="18" ht="14.25" customHeight="1">
      <c r="E18" s="130">
        <v>17.0</v>
      </c>
      <c r="F18" s="131"/>
      <c r="G18" s="132"/>
      <c r="H18" s="82"/>
      <c r="I18" s="130">
        <v>17.0</v>
      </c>
      <c r="J18" s="148"/>
      <c r="K18" s="132"/>
      <c r="M18" s="163">
        <v>17.0</v>
      </c>
      <c r="N18" s="178"/>
      <c r="O18" s="180"/>
      <c r="Q18" s="163">
        <v>17.0</v>
      </c>
      <c r="R18" s="178"/>
      <c r="S18" s="176"/>
    </row>
    <row r="19" ht="14.25" customHeight="1">
      <c r="E19" s="130">
        <v>18.0</v>
      </c>
      <c r="F19" s="131"/>
      <c r="G19" s="132"/>
      <c r="H19" s="82"/>
      <c r="I19" s="130">
        <v>18.0</v>
      </c>
      <c r="J19" s="148"/>
      <c r="K19" s="132"/>
      <c r="M19" s="163">
        <v>18.0</v>
      </c>
      <c r="N19" s="178"/>
      <c r="O19" s="180"/>
      <c r="Q19" s="163">
        <v>18.0</v>
      </c>
      <c r="R19" s="178"/>
      <c r="S19" s="179"/>
    </row>
    <row r="20" ht="14.25" customHeight="1">
      <c r="E20" s="130">
        <v>19.0</v>
      </c>
      <c r="F20" s="131"/>
      <c r="G20" s="132"/>
      <c r="H20" s="82"/>
      <c r="I20" s="130">
        <v>19.0</v>
      </c>
      <c r="J20" s="148"/>
      <c r="K20" s="132"/>
      <c r="M20" s="163">
        <v>19.0</v>
      </c>
      <c r="N20" s="178"/>
      <c r="O20" s="180"/>
      <c r="Q20" s="163">
        <v>19.0</v>
      </c>
      <c r="R20" s="178"/>
      <c r="S20" s="179"/>
    </row>
    <row r="21" ht="14.25" customHeight="1">
      <c r="E21" s="130">
        <v>20.0</v>
      </c>
      <c r="F21" s="131"/>
      <c r="G21" s="132"/>
      <c r="H21" s="82"/>
      <c r="I21" s="130">
        <v>20.0</v>
      </c>
      <c r="J21" s="148"/>
      <c r="K21" s="132"/>
      <c r="M21" s="163">
        <v>20.0</v>
      </c>
      <c r="N21" s="177"/>
      <c r="O21" s="169"/>
      <c r="Q21" s="163">
        <v>20.0</v>
      </c>
      <c r="R21" s="177"/>
      <c r="S21" s="176"/>
    </row>
    <row r="22" ht="14.25" customHeight="1">
      <c r="E22" s="130">
        <v>21.0</v>
      </c>
      <c r="F22" s="148"/>
      <c r="G22" s="132"/>
      <c r="H22" s="82"/>
      <c r="I22" s="130">
        <v>21.0</v>
      </c>
      <c r="J22" s="135"/>
      <c r="K22" s="136"/>
      <c r="M22" s="163">
        <v>21.0</v>
      </c>
      <c r="N22" s="178"/>
      <c r="O22" s="180"/>
      <c r="Q22" s="163">
        <v>21.0</v>
      </c>
      <c r="R22" s="178"/>
      <c r="S22" s="179"/>
    </row>
    <row r="23" ht="14.25" customHeight="1">
      <c r="E23" s="130">
        <v>22.0</v>
      </c>
      <c r="F23" s="148"/>
      <c r="G23" s="132"/>
      <c r="H23" s="82"/>
      <c r="I23" s="130">
        <v>22.0</v>
      </c>
      <c r="J23" s="148"/>
      <c r="K23" s="132"/>
      <c r="M23" s="163">
        <v>22.0</v>
      </c>
      <c r="N23" s="178"/>
      <c r="O23" s="180"/>
      <c r="Q23" s="163">
        <v>22.0</v>
      </c>
      <c r="R23" s="178"/>
      <c r="S23" s="179"/>
    </row>
    <row r="24" ht="14.25" customHeight="1">
      <c r="E24" s="130">
        <v>23.0</v>
      </c>
      <c r="F24" s="131"/>
      <c r="G24" s="132"/>
      <c r="H24" s="82"/>
      <c r="I24" s="130">
        <v>23.0</v>
      </c>
      <c r="J24" s="148"/>
      <c r="K24" s="136"/>
      <c r="M24" s="163">
        <v>23.0</v>
      </c>
      <c r="N24" s="178"/>
      <c r="O24" s="180"/>
      <c r="Q24" s="163">
        <v>23.0</v>
      </c>
      <c r="R24" s="178"/>
      <c r="S24" s="179"/>
    </row>
    <row r="25" ht="14.25" customHeight="1">
      <c r="E25" s="130">
        <v>24.0</v>
      </c>
      <c r="F25" s="148"/>
      <c r="G25" s="132"/>
      <c r="H25" s="82"/>
      <c r="I25" s="130">
        <v>24.0</v>
      </c>
      <c r="J25" s="131"/>
      <c r="K25" s="132"/>
      <c r="M25" s="163">
        <v>24.0</v>
      </c>
      <c r="N25" s="175"/>
      <c r="O25" s="169"/>
      <c r="Q25" s="163">
        <v>24.0</v>
      </c>
      <c r="R25" s="175"/>
      <c r="S25" s="176"/>
    </row>
    <row r="26" ht="14.25" customHeight="1">
      <c r="E26" s="130">
        <v>25.0</v>
      </c>
      <c r="F26" s="96"/>
      <c r="G26" s="132"/>
      <c r="H26" s="82"/>
      <c r="I26" s="130">
        <v>25.0</v>
      </c>
      <c r="J26" s="135"/>
      <c r="K26" s="132"/>
      <c r="M26" s="163">
        <v>25.0</v>
      </c>
      <c r="N26" s="177"/>
      <c r="O26" s="169"/>
      <c r="Q26" s="163">
        <v>25.0</v>
      </c>
      <c r="R26" s="177"/>
      <c r="S26" s="176"/>
    </row>
    <row r="27" ht="14.25" customHeight="1">
      <c r="E27" s="130">
        <v>26.0</v>
      </c>
      <c r="F27" s="131"/>
      <c r="G27" s="132"/>
      <c r="H27" s="82"/>
      <c r="I27" s="130">
        <v>26.0</v>
      </c>
      <c r="J27" s="131"/>
      <c r="K27" s="132"/>
      <c r="M27" s="163">
        <v>26.0</v>
      </c>
      <c r="N27" s="178"/>
      <c r="O27" s="180"/>
      <c r="Q27" s="163">
        <v>26.0</v>
      </c>
      <c r="R27" s="178"/>
      <c r="S27" s="179"/>
    </row>
    <row r="28" ht="14.25" customHeight="1">
      <c r="E28" s="130">
        <v>27.0</v>
      </c>
      <c r="F28" s="131"/>
      <c r="G28" s="132"/>
      <c r="H28" s="82"/>
      <c r="I28" s="130">
        <v>27.0</v>
      </c>
      <c r="J28" s="148"/>
      <c r="K28" s="132"/>
      <c r="M28" s="163">
        <v>27.0</v>
      </c>
      <c r="N28" s="178"/>
      <c r="O28" s="179"/>
      <c r="Q28" s="163">
        <v>27.0</v>
      </c>
      <c r="R28" s="178"/>
      <c r="S28" s="179"/>
    </row>
    <row r="29" ht="14.25" customHeight="1">
      <c r="E29" s="130">
        <v>28.0</v>
      </c>
      <c r="F29" s="131"/>
      <c r="G29" s="132"/>
      <c r="H29" s="82"/>
      <c r="I29" s="130">
        <v>28.0</v>
      </c>
      <c r="J29" s="135"/>
      <c r="K29" s="136"/>
      <c r="M29" s="163">
        <v>28.0</v>
      </c>
      <c r="N29" s="178"/>
      <c r="O29" s="179"/>
      <c r="Q29" s="163">
        <v>28.0</v>
      </c>
      <c r="R29" s="178"/>
      <c r="S29" s="179"/>
    </row>
    <row r="30" ht="14.25" customHeight="1">
      <c r="E30" s="130">
        <v>29.0</v>
      </c>
      <c r="F30" s="135"/>
      <c r="G30" s="136"/>
      <c r="H30" s="82"/>
      <c r="I30" s="130">
        <v>29.0</v>
      </c>
      <c r="J30" s="135"/>
      <c r="K30" s="136"/>
      <c r="M30" s="163">
        <v>29.0</v>
      </c>
      <c r="N30" s="178"/>
      <c r="O30" s="179"/>
      <c r="Q30" s="163">
        <v>29.0</v>
      </c>
      <c r="R30" s="178"/>
      <c r="S30" s="179"/>
    </row>
    <row r="31" ht="14.25" customHeight="1">
      <c r="E31" s="130">
        <v>30.0</v>
      </c>
      <c r="F31" s="135"/>
      <c r="G31" s="136"/>
      <c r="H31" s="82"/>
      <c r="I31" s="130">
        <v>30.0</v>
      </c>
      <c r="J31" s="135"/>
      <c r="K31" s="136"/>
      <c r="M31" s="163">
        <v>30.0</v>
      </c>
      <c r="N31" s="178"/>
      <c r="O31" s="179"/>
      <c r="Q31" s="163">
        <v>30.0</v>
      </c>
      <c r="R31" s="178"/>
      <c r="S31" s="179"/>
    </row>
    <row r="32" ht="14.25" customHeight="1">
      <c r="E32" s="141">
        <v>31.0</v>
      </c>
      <c r="F32" s="142"/>
      <c r="G32" s="143"/>
      <c r="H32" s="82"/>
      <c r="I32" s="141">
        <v>31.0</v>
      </c>
      <c r="J32" s="142"/>
      <c r="K32" s="143"/>
      <c r="M32" s="182">
        <v>31.0</v>
      </c>
      <c r="N32" s="183"/>
      <c r="O32" s="184"/>
      <c r="Q32" s="182">
        <v>31.0</v>
      </c>
      <c r="R32" s="183"/>
      <c r="S32" s="184"/>
    </row>
    <row r="33" ht="14.25" customHeight="1">
      <c r="E33" s="185" t="s">
        <v>116</v>
      </c>
      <c r="F33" s="146"/>
      <c r="G33" s="186">
        <f>SUM(G2:G32)</f>
        <v>0</v>
      </c>
      <c r="H33" s="82"/>
      <c r="I33" s="185" t="s">
        <v>117</v>
      </c>
      <c r="J33" s="146"/>
      <c r="K33" s="186">
        <f>SUM(K2:K32)</f>
        <v>0</v>
      </c>
      <c r="M33" s="187" t="s">
        <v>117</v>
      </c>
      <c r="N33" s="146"/>
      <c r="O33" s="188">
        <f>SUM(O2:O32)</f>
        <v>0</v>
      </c>
      <c r="Q33" s="187" t="s">
        <v>117</v>
      </c>
      <c r="R33" s="146"/>
      <c r="S33" s="188">
        <f>SUM(S2:S32)</f>
        <v>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E33:F33"/>
    <mergeCell ref="I33:J33"/>
    <mergeCell ref="M33:N33"/>
    <mergeCell ref="Q33:R33"/>
  </mergeCells>
  <conditionalFormatting sqref="G33">
    <cfRule type="colorScale" priority="1">
      <colorScale>
        <cfvo type="formula" val="500"/>
        <cfvo type="formula" val="700"/>
        <cfvo type="formula" val="1000"/>
        <color rgb="FFB6D7A8"/>
        <color rgb="FFFFE599"/>
        <color rgb="FFE06666"/>
      </colorScale>
    </cfRule>
  </conditionalFormatting>
  <conditionalFormatting sqref="K33">
    <cfRule type="colorScale" priority="2">
      <colorScale>
        <cfvo type="formula" val="1500"/>
        <cfvo type="formula" val="1700"/>
        <cfvo type="formula" val="2000"/>
        <color rgb="FFB6D7A8"/>
        <color rgb="FFFFF2CC"/>
        <color rgb="FFE06666"/>
      </colorScale>
    </cfRule>
  </conditionalFormatting>
  <conditionalFormatting sqref="G2:G32">
    <cfRule type="cellIs" dxfId="0" priority="3" operator="lessThan">
      <formula>1</formula>
    </cfRule>
  </conditionalFormatting>
  <conditionalFormatting sqref="K2:K32 O2 S2">
    <cfRule type="cellIs" dxfId="2" priority="4" operator="lessThan">
      <formula>1</formula>
    </cfRule>
  </conditionalFormatting>
  <dataValidations>
    <dataValidation type="list" allowBlank="1" showErrorMessage="1" sqref="N2:N32">
      <formula1>"Body Milk,Diaper,Tedi Bar,Cloths ,Toy,Powder,Nuts&amp;Millets,Book,Cosmetic,Birthday,Play"</formula1>
    </dataValidation>
    <dataValidation type="list" allowBlank="1" showErrorMessage="1" sqref="J2:J32">
      <formula1>"Cloth,Electronics,Shoe/Chappal,Home material"</formula1>
    </dataValidation>
    <dataValidation type="list" allowBlank="1" showErrorMessage="1" sqref="F2:F32">
      <formula1>"Zomato,Food Outside,Snack"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88"/>
    <col customWidth="1" min="3" max="3" width="30.75"/>
    <col customWidth="1" min="4" max="7" width="7.63"/>
    <col customWidth="1" min="8" max="8" width="38.5"/>
    <col customWidth="1" min="9" max="9" width="14.13"/>
    <col customWidth="1" min="10" max="16" width="7.63"/>
  </cols>
  <sheetData>
    <row r="1" ht="14.25" customHeight="1">
      <c r="B1" s="153" t="s">
        <v>87</v>
      </c>
      <c r="C1" s="189" t="s">
        <v>118</v>
      </c>
      <c r="D1" s="155" t="s">
        <v>7</v>
      </c>
      <c r="E1" s="82"/>
      <c r="G1" s="153" t="s">
        <v>87</v>
      </c>
      <c r="H1" s="189" t="s">
        <v>119</v>
      </c>
      <c r="I1" s="155" t="s">
        <v>7</v>
      </c>
    </row>
    <row r="2" ht="14.25" customHeight="1">
      <c r="B2" s="130">
        <v>1.0</v>
      </c>
      <c r="C2" s="131"/>
      <c r="D2" s="132"/>
      <c r="E2" s="82"/>
      <c r="G2" s="130">
        <v>1.0</v>
      </c>
      <c r="H2" s="131"/>
      <c r="I2" s="132"/>
    </row>
    <row r="3" ht="14.25" customHeight="1">
      <c r="B3" s="130">
        <v>2.0</v>
      </c>
      <c r="C3" s="167"/>
      <c r="D3" s="132"/>
      <c r="E3" s="82"/>
      <c r="G3" s="130">
        <v>2.0</v>
      </c>
      <c r="H3" s="167"/>
      <c r="I3" s="132"/>
    </row>
    <row r="4" ht="14.25" customHeight="1">
      <c r="B4" s="130">
        <v>3.0</v>
      </c>
      <c r="C4" s="131"/>
      <c r="D4" s="132"/>
      <c r="E4" s="82"/>
      <c r="G4" s="130">
        <v>3.0</v>
      </c>
      <c r="H4" s="131"/>
      <c r="I4" s="132"/>
    </row>
    <row r="5" ht="14.25" customHeight="1">
      <c r="B5" s="130">
        <v>4.0</v>
      </c>
      <c r="C5" s="131"/>
      <c r="D5" s="132"/>
      <c r="E5" s="82"/>
      <c r="G5" s="130">
        <v>4.0</v>
      </c>
      <c r="H5" s="131"/>
      <c r="I5" s="132"/>
    </row>
    <row r="6" ht="14.25" customHeight="1">
      <c r="B6" s="130">
        <v>5.0</v>
      </c>
      <c r="C6" s="131"/>
      <c r="D6" s="132"/>
      <c r="E6" s="82"/>
      <c r="G6" s="130">
        <v>5.0</v>
      </c>
      <c r="H6" s="131"/>
      <c r="I6" s="132"/>
    </row>
    <row r="7" ht="14.25" customHeight="1">
      <c r="B7" s="130">
        <v>6.0</v>
      </c>
      <c r="C7" s="131"/>
      <c r="D7" s="132"/>
      <c r="E7" s="82"/>
      <c r="G7" s="130">
        <v>6.0</v>
      </c>
      <c r="H7" s="131"/>
      <c r="I7" s="132"/>
    </row>
    <row r="8" ht="14.25" customHeight="1">
      <c r="B8" s="130">
        <v>7.0</v>
      </c>
      <c r="C8" s="131"/>
      <c r="D8" s="132"/>
      <c r="E8" s="82"/>
      <c r="G8" s="130">
        <v>7.0</v>
      </c>
      <c r="H8" s="131"/>
      <c r="I8" s="132"/>
    </row>
    <row r="9" ht="14.25" customHeight="1">
      <c r="B9" s="130">
        <v>8.0</v>
      </c>
      <c r="C9" s="131"/>
      <c r="D9" s="132"/>
      <c r="E9" s="82"/>
      <c r="G9" s="130">
        <v>8.0</v>
      </c>
      <c r="H9" s="131"/>
      <c r="I9" s="132"/>
    </row>
    <row r="10" ht="14.25" customHeight="1">
      <c r="B10" s="130">
        <v>9.0</v>
      </c>
      <c r="C10" s="148"/>
      <c r="D10" s="132"/>
      <c r="E10" s="82"/>
      <c r="G10" s="130">
        <v>9.0</v>
      </c>
      <c r="H10" s="135"/>
      <c r="I10" s="136"/>
    </row>
    <row r="11" ht="14.25" customHeight="1">
      <c r="B11" s="130">
        <v>10.0</v>
      </c>
      <c r="C11" s="148"/>
      <c r="D11" s="132"/>
      <c r="E11" s="82"/>
      <c r="G11" s="130">
        <v>10.0</v>
      </c>
      <c r="H11" s="135"/>
      <c r="I11" s="136"/>
    </row>
    <row r="12" ht="14.25" customHeight="1">
      <c r="B12" s="130">
        <v>11.0</v>
      </c>
      <c r="C12" s="131"/>
      <c r="D12" s="132"/>
      <c r="E12" s="82"/>
      <c r="G12" s="130">
        <v>11.0</v>
      </c>
      <c r="H12" s="131"/>
      <c r="I12" s="132"/>
    </row>
    <row r="13" ht="14.25" customHeight="1">
      <c r="B13" s="130">
        <v>12.0</v>
      </c>
      <c r="C13" s="131"/>
      <c r="D13" s="132"/>
      <c r="E13" s="82"/>
      <c r="G13" s="130">
        <v>12.0</v>
      </c>
      <c r="H13" s="131"/>
      <c r="I13" s="132"/>
    </row>
    <row r="14" ht="14.25" customHeight="1">
      <c r="B14" s="130">
        <v>13.0</v>
      </c>
      <c r="C14" s="148"/>
      <c r="D14" s="132"/>
      <c r="E14" s="82"/>
      <c r="G14" s="130">
        <v>13.0</v>
      </c>
      <c r="H14" s="148"/>
      <c r="I14" s="136"/>
    </row>
    <row r="15" ht="14.25" customHeight="1">
      <c r="B15" s="130">
        <v>14.0</v>
      </c>
      <c r="C15" s="148"/>
      <c r="D15" s="132"/>
      <c r="E15" s="82"/>
      <c r="G15" s="130">
        <v>14.0</v>
      </c>
      <c r="H15" s="135"/>
      <c r="I15" s="136"/>
    </row>
    <row r="16" ht="14.25" customHeight="1">
      <c r="B16" s="130">
        <v>15.0</v>
      </c>
      <c r="C16" s="131"/>
      <c r="D16" s="132"/>
      <c r="E16" s="82"/>
      <c r="G16" s="130">
        <v>15.0</v>
      </c>
      <c r="H16" s="131"/>
      <c r="I16" s="132"/>
    </row>
    <row r="17" ht="14.25" customHeight="1">
      <c r="B17" s="130">
        <v>16.0</v>
      </c>
      <c r="C17" s="131"/>
      <c r="D17" s="132"/>
      <c r="E17" s="82"/>
      <c r="G17" s="130">
        <v>16.0</v>
      </c>
      <c r="H17" s="131"/>
      <c r="I17" s="132"/>
    </row>
    <row r="18" ht="14.25" customHeight="1">
      <c r="B18" s="130">
        <v>17.0</v>
      </c>
      <c r="C18" s="148"/>
      <c r="D18" s="132"/>
      <c r="E18" s="82"/>
      <c r="G18" s="130">
        <v>17.0</v>
      </c>
      <c r="H18" s="148"/>
      <c r="I18" s="132"/>
    </row>
    <row r="19" ht="14.25" customHeight="1">
      <c r="B19" s="130">
        <v>18.0</v>
      </c>
      <c r="C19" s="148"/>
      <c r="D19" s="132"/>
      <c r="E19" s="82"/>
      <c r="G19" s="130">
        <v>18.0</v>
      </c>
      <c r="H19" s="148"/>
      <c r="I19" s="132"/>
    </row>
    <row r="20" ht="14.25" customHeight="1">
      <c r="B20" s="130">
        <v>19.0</v>
      </c>
      <c r="C20" s="131"/>
      <c r="D20" s="132"/>
      <c r="E20" s="82"/>
      <c r="G20" s="130">
        <v>19.0</v>
      </c>
      <c r="H20" s="131"/>
      <c r="I20" s="132"/>
    </row>
    <row r="21" ht="14.25" customHeight="1">
      <c r="B21" s="130">
        <v>20.0</v>
      </c>
      <c r="C21" s="131"/>
      <c r="D21" s="132"/>
      <c r="E21" s="82"/>
      <c r="G21" s="130">
        <v>20.0</v>
      </c>
      <c r="H21" s="131"/>
      <c r="I21" s="132"/>
    </row>
    <row r="22" ht="14.25" customHeight="1">
      <c r="B22" s="130">
        <v>21.0</v>
      </c>
      <c r="C22" s="131"/>
      <c r="D22" s="132"/>
      <c r="E22" s="82"/>
      <c r="G22" s="130">
        <v>21.0</v>
      </c>
      <c r="H22" s="131"/>
      <c r="I22" s="132"/>
    </row>
    <row r="23" ht="14.25" customHeight="1">
      <c r="B23" s="130">
        <v>22.0</v>
      </c>
      <c r="C23" s="131"/>
      <c r="D23" s="132"/>
      <c r="E23" s="82"/>
      <c r="G23" s="130">
        <v>22.0</v>
      </c>
      <c r="H23" s="131"/>
      <c r="I23" s="132"/>
    </row>
    <row r="24" ht="14.25" customHeight="1">
      <c r="B24" s="130">
        <v>23.0</v>
      </c>
      <c r="C24" s="131"/>
      <c r="D24" s="132"/>
      <c r="E24" s="82"/>
      <c r="G24" s="130">
        <v>23.0</v>
      </c>
      <c r="H24" s="131"/>
      <c r="I24" s="132"/>
    </row>
    <row r="25" ht="14.25" customHeight="1">
      <c r="B25" s="130">
        <v>24.0</v>
      </c>
      <c r="C25" s="131"/>
      <c r="D25" s="132"/>
      <c r="E25" s="82"/>
      <c r="G25" s="130">
        <v>24.0</v>
      </c>
      <c r="H25" s="131"/>
      <c r="I25" s="132"/>
    </row>
    <row r="26" ht="14.25" customHeight="1">
      <c r="B26" s="130">
        <v>25.0</v>
      </c>
      <c r="C26" s="131"/>
      <c r="D26" s="132"/>
      <c r="E26" s="82"/>
      <c r="G26" s="130">
        <v>25.0</v>
      </c>
      <c r="H26" s="131"/>
      <c r="I26" s="132"/>
    </row>
    <row r="27" ht="14.25" customHeight="1">
      <c r="B27" s="130">
        <v>26.0</v>
      </c>
      <c r="C27" s="131"/>
      <c r="D27" s="132"/>
      <c r="E27" s="82"/>
      <c r="G27" s="130">
        <v>26.0</v>
      </c>
      <c r="H27" s="131"/>
      <c r="I27" s="132"/>
    </row>
    <row r="28" ht="14.25" customHeight="1">
      <c r="B28" s="130">
        <v>27.0</v>
      </c>
      <c r="C28" s="131"/>
      <c r="D28" s="132"/>
      <c r="E28" s="82"/>
      <c r="G28" s="130">
        <v>27.0</v>
      </c>
      <c r="H28" s="131"/>
      <c r="I28" s="132"/>
    </row>
    <row r="29" ht="14.25" customHeight="1">
      <c r="B29" s="130">
        <v>28.0</v>
      </c>
      <c r="C29" s="135"/>
      <c r="D29" s="136"/>
      <c r="E29" s="82"/>
      <c r="G29" s="130">
        <v>28.0</v>
      </c>
      <c r="H29" s="135"/>
      <c r="I29" s="136"/>
    </row>
    <row r="30" ht="14.25" customHeight="1">
      <c r="B30" s="130">
        <v>29.0</v>
      </c>
      <c r="C30" s="131"/>
      <c r="D30" s="132"/>
      <c r="E30" s="82"/>
      <c r="G30" s="130">
        <v>29.0</v>
      </c>
      <c r="H30" s="131"/>
      <c r="I30" s="132"/>
    </row>
    <row r="31" ht="14.25" customHeight="1">
      <c r="B31" s="130">
        <v>30.0</v>
      </c>
      <c r="C31" s="135"/>
      <c r="D31" s="136"/>
      <c r="E31" s="82"/>
      <c r="G31" s="130">
        <v>30.0</v>
      </c>
      <c r="H31" s="135"/>
      <c r="I31" s="136"/>
    </row>
    <row r="32" ht="14.25" customHeight="1">
      <c r="B32" s="141">
        <v>31.0</v>
      </c>
      <c r="C32" s="142"/>
      <c r="D32" s="143"/>
      <c r="E32" s="82"/>
      <c r="G32" s="141">
        <v>31.0</v>
      </c>
      <c r="H32" s="142"/>
      <c r="I32" s="143"/>
    </row>
    <row r="33" ht="14.25" customHeight="1">
      <c r="B33" s="190" t="s">
        <v>19</v>
      </c>
      <c r="C33" s="146"/>
      <c r="D33" s="186">
        <f>SUM(D2:D32)</f>
        <v>0</v>
      </c>
      <c r="E33" s="82"/>
      <c r="G33" s="190" t="s">
        <v>19</v>
      </c>
      <c r="H33" s="146"/>
      <c r="I33" s="186">
        <f>SUM(I2:I32)</f>
        <v>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3:C33"/>
    <mergeCell ref="G33:H33"/>
  </mergeCells>
  <conditionalFormatting sqref="D16 I16">
    <cfRule type="cellIs" dxfId="2" priority="1" operator="lessThan">
      <formula>1</formula>
    </cfRule>
  </conditionalFormatting>
  <conditionalFormatting sqref="D33 I33">
    <cfRule type="colorScale" priority="2">
      <colorScale>
        <cfvo type="formula" val="500"/>
        <cfvo type="formula" val="700"/>
        <cfvo type="formula" val="1000"/>
        <color rgb="FFB6D7A8"/>
        <color rgb="FFFFE599"/>
        <color rgb="FFE06666"/>
      </colorScale>
    </cfRule>
  </conditionalFormatting>
  <conditionalFormatting sqref="D2:D15 I2:I15 D17:D32 I17:I32">
    <cfRule type="cellIs" dxfId="0" priority="3" operator="lessThan">
      <formula>1</formula>
    </cfRule>
  </conditionalFormatting>
  <dataValidations>
    <dataValidation type="list" allowBlank="1" showErrorMessage="1" sqref="C2:C32 H2:H32">
      <formula1>"Laundry,Hair Trim,Soap,Perfume,Room Spary,Toilet Freshner,Sun Cream,SurfXL,Garbage_bag,Face oil,Trim tool,tooth paste/brush,Powder,Wipes,Sampoo,Hair oil"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87</v>
      </c>
      <c r="B1" s="122" t="s">
        <v>120</v>
      </c>
      <c r="C1" s="123" t="s">
        <v>7</v>
      </c>
    </row>
    <row r="2">
      <c r="A2" s="130">
        <v>1.0</v>
      </c>
      <c r="B2" s="131"/>
      <c r="C2" s="132"/>
    </row>
    <row r="3">
      <c r="A3" s="130">
        <v>2.0</v>
      </c>
      <c r="B3" s="131"/>
      <c r="C3" s="132"/>
    </row>
    <row r="4">
      <c r="A4" s="130">
        <v>3.0</v>
      </c>
      <c r="B4" s="135"/>
      <c r="C4" s="132"/>
    </row>
    <row r="5">
      <c r="A5" s="130">
        <v>4.0</v>
      </c>
      <c r="B5" s="131"/>
      <c r="C5" s="132"/>
    </row>
    <row r="6">
      <c r="A6" s="130">
        <v>5.0</v>
      </c>
      <c r="B6" s="135"/>
      <c r="C6" s="136"/>
    </row>
    <row r="7">
      <c r="A7" s="130">
        <v>6.0</v>
      </c>
      <c r="B7" s="135"/>
      <c r="C7" s="136"/>
    </row>
    <row r="8">
      <c r="A8" s="130">
        <v>7.0</v>
      </c>
      <c r="B8" s="135"/>
      <c r="C8" s="136"/>
    </row>
    <row r="9">
      <c r="A9" s="130">
        <v>8.0</v>
      </c>
      <c r="B9" s="131"/>
      <c r="C9" s="132"/>
    </row>
    <row r="10">
      <c r="A10" s="130">
        <v>9.0</v>
      </c>
      <c r="B10" s="135"/>
      <c r="C10" s="132"/>
    </row>
    <row r="11">
      <c r="A11" s="130">
        <v>10.0</v>
      </c>
      <c r="B11" s="135"/>
      <c r="C11" s="136"/>
    </row>
    <row r="12">
      <c r="A12" s="130">
        <v>11.0</v>
      </c>
      <c r="B12" s="131"/>
      <c r="C12" s="132"/>
    </row>
    <row r="13">
      <c r="A13" s="130">
        <v>12.0</v>
      </c>
      <c r="B13" s="135"/>
      <c r="C13" s="136"/>
    </row>
    <row r="14">
      <c r="A14" s="130">
        <v>13.0</v>
      </c>
      <c r="B14" s="131"/>
      <c r="C14" s="132"/>
    </row>
    <row r="15">
      <c r="A15" s="130">
        <v>14.0</v>
      </c>
      <c r="B15" s="131"/>
      <c r="C15" s="136"/>
    </row>
    <row r="16">
      <c r="A16" s="130">
        <v>15.0</v>
      </c>
      <c r="B16" s="131"/>
      <c r="C16" s="136"/>
    </row>
    <row r="17">
      <c r="A17" s="130">
        <v>16.0</v>
      </c>
      <c r="B17" s="131"/>
      <c r="C17" s="132"/>
    </row>
    <row r="18">
      <c r="A18" s="130">
        <v>17.0</v>
      </c>
      <c r="B18" s="131"/>
      <c r="C18" s="132"/>
    </row>
    <row r="19">
      <c r="A19" s="130">
        <v>18.0</v>
      </c>
      <c r="B19" s="131"/>
      <c r="C19" s="132"/>
    </row>
    <row r="20">
      <c r="A20" s="130">
        <v>19.0</v>
      </c>
      <c r="B20" s="135"/>
      <c r="C20" s="136"/>
    </row>
    <row r="21">
      <c r="A21" s="130">
        <v>20.0</v>
      </c>
      <c r="B21" s="131"/>
      <c r="C21" s="132"/>
    </row>
    <row r="22">
      <c r="A22" s="130">
        <v>21.0</v>
      </c>
      <c r="B22" s="135"/>
      <c r="C22" s="136"/>
    </row>
    <row r="23">
      <c r="A23" s="130">
        <v>22.0</v>
      </c>
      <c r="B23" s="131"/>
      <c r="C23" s="132"/>
    </row>
    <row r="24">
      <c r="A24" s="130">
        <v>23.0</v>
      </c>
      <c r="B24" s="131"/>
      <c r="C24" s="132"/>
    </row>
    <row r="25">
      <c r="A25" s="130">
        <v>24.0</v>
      </c>
      <c r="B25" s="135"/>
      <c r="C25" s="136"/>
    </row>
    <row r="26">
      <c r="A26" s="130">
        <v>25.0</v>
      </c>
      <c r="B26" s="131"/>
      <c r="C26" s="132"/>
    </row>
    <row r="27">
      <c r="A27" s="130">
        <v>26.0</v>
      </c>
      <c r="B27" s="131"/>
      <c r="C27" s="136"/>
    </row>
    <row r="28">
      <c r="A28" s="130">
        <v>27.0</v>
      </c>
      <c r="B28" s="131"/>
      <c r="C28" s="132"/>
    </row>
    <row r="29">
      <c r="A29" s="130">
        <v>28.0</v>
      </c>
      <c r="B29" s="131"/>
      <c r="C29" s="136"/>
    </row>
    <row r="30">
      <c r="A30" s="130">
        <v>29.0</v>
      </c>
      <c r="B30" s="135"/>
      <c r="C30" s="136"/>
    </row>
    <row r="31">
      <c r="A31" s="130">
        <v>30.0</v>
      </c>
      <c r="B31" s="135"/>
      <c r="C31" s="136"/>
    </row>
    <row r="32">
      <c r="A32" s="141">
        <v>31.0</v>
      </c>
      <c r="B32" s="142"/>
      <c r="C32" s="136"/>
    </row>
    <row r="33">
      <c r="A33" s="80"/>
      <c r="B33" s="150" t="s">
        <v>121</v>
      </c>
      <c r="C33" s="151">
        <f>SUM(C2:C32)</f>
        <v>0</v>
      </c>
    </row>
  </sheetData>
  <conditionalFormatting sqref="C33">
    <cfRule type="colorScale" priority="1">
      <colorScale>
        <cfvo type="formula" val="1500"/>
        <cfvo type="formula" val="2000"/>
        <cfvo type="formula" val="2500"/>
        <color rgb="FFB6D7A8"/>
        <color rgb="FFFFE599"/>
        <color rgb="FFEA9999"/>
      </colorScale>
    </cfRule>
  </conditionalFormatting>
  <conditionalFormatting sqref="C2:C32">
    <cfRule type="cellIs" dxfId="2" priority="2" operator="lessThan">
      <formula>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21" t="s">
        <v>87</v>
      </c>
      <c r="B1" s="122" t="s">
        <v>122</v>
      </c>
      <c r="C1" s="123" t="s">
        <v>7</v>
      </c>
    </row>
    <row r="2">
      <c r="A2" s="130">
        <v>1.0</v>
      </c>
      <c r="B2" s="131"/>
      <c r="C2" s="132"/>
    </row>
    <row r="3">
      <c r="A3" s="130">
        <v>2.0</v>
      </c>
      <c r="B3" s="131"/>
      <c r="C3" s="132"/>
    </row>
    <row r="4">
      <c r="A4" s="130">
        <v>3.0</v>
      </c>
      <c r="B4" s="131"/>
      <c r="C4" s="132"/>
    </row>
    <row r="5">
      <c r="A5" s="130">
        <v>4.0</v>
      </c>
      <c r="B5" s="131"/>
      <c r="C5" s="132"/>
    </row>
    <row r="6">
      <c r="A6" s="130">
        <v>5.0</v>
      </c>
      <c r="B6" s="131"/>
      <c r="C6" s="132"/>
    </row>
    <row r="7">
      <c r="A7" s="130">
        <v>6.0</v>
      </c>
      <c r="B7" s="131"/>
      <c r="C7" s="132"/>
    </row>
    <row r="8">
      <c r="A8" s="130">
        <v>7.0</v>
      </c>
      <c r="B8" s="131"/>
      <c r="C8" s="132"/>
    </row>
    <row r="9">
      <c r="A9" s="130">
        <v>8.0</v>
      </c>
      <c r="B9" s="131"/>
      <c r="C9" s="132"/>
    </row>
    <row r="10">
      <c r="A10" s="130">
        <v>9.0</v>
      </c>
      <c r="B10" s="135"/>
      <c r="C10" s="136"/>
    </row>
    <row r="11">
      <c r="A11" s="130">
        <v>10.0</v>
      </c>
      <c r="B11" s="131"/>
      <c r="C11" s="136"/>
    </row>
    <row r="12">
      <c r="A12" s="130">
        <v>11.0</v>
      </c>
      <c r="B12" s="131"/>
      <c r="C12" s="132"/>
    </row>
    <row r="13">
      <c r="A13" s="130">
        <v>12.0</v>
      </c>
      <c r="B13" s="131"/>
      <c r="C13" s="132"/>
    </row>
    <row r="14">
      <c r="A14" s="130">
        <v>13.0</v>
      </c>
      <c r="B14" s="131"/>
      <c r="C14" s="132"/>
    </row>
    <row r="15">
      <c r="A15" s="130">
        <v>14.0</v>
      </c>
      <c r="B15" s="131"/>
      <c r="C15" s="132"/>
    </row>
    <row r="16">
      <c r="A16" s="130">
        <v>15.0</v>
      </c>
      <c r="B16" s="131"/>
      <c r="C16" s="132"/>
    </row>
    <row r="17">
      <c r="A17" s="130">
        <v>16.0</v>
      </c>
      <c r="B17" s="131"/>
      <c r="C17" s="132"/>
    </row>
    <row r="18">
      <c r="A18" s="130">
        <v>17.0</v>
      </c>
      <c r="B18" s="131"/>
      <c r="C18" s="132"/>
    </row>
    <row r="19">
      <c r="A19" s="130">
        <v>18.0</v>
      </c>
      <c r="C19" s="132"/>
    </row>
    <row r="20">
      <c r="A20" s="130">
        <v>19.0</v>
      </c>
      <c r="B20" s="131"/>
      <c r="C20" s="132"/>
    </row>
    <row r="21">
      <c r="A21" s="130">
        <v>20.0</v>
      </c>
      <c r="B21" s="131"/>
      <c r="C21" s="132"/>
    </row>
    <row r="22">
      <c r="A22" s="130">
        <v>21.0</v>
      </c>
      <c r="B22" s="131"/>
      <c r="C22" s="136"/>
    </row>
    <row r="23">
      <c r="A23" s="130">
        <v>22.0</v>
      </c>
      <c r="B23" s="131"/>
      <c r="C23" s="132"/>
    </row>
    <row r="24">
      <c r="A24" s="130">
        <v>23.0</v>
      </c>
      <c r="B24" s="131"/>
      <c r="C24" s="132"/>
    </row>
    <row r="25">
      <c r="A25" s="130">
        <v>24.0</v>
      </c>
      <c r="B25" s="131"/>
      <c r="C25" s="132"/>
    </row>
    <row r="26">
      <c r="A26" s="130">
        <v>25.0</v>
      </c>
      <c r="B26" s="131"/>
      <c r="C26" s="132"/>
    </row>
    <row r="27">
      <c r="A27" s="130">
        <v>26.0</v>
      </c>
      <c r="B27" s="131"/>
      <c r="C27" s="132"/>
    </row>
    <row r="28">
      <c r="A28" s="130">
        <v>27.0</v>
      </c>
      <c r="B28" s="131"/>
      <c r="C28" s="132"/>
    </row>
    <row r="29">
      <c r="A29" s="130">
        <v>28.0</v>
      </c>
      <c r="B29" s="131"/>
      <c r="C29" s="132"/>
    </row>
    <row r="30">
      <c r="A30" s="130">
        <v>29.0</v>
      </c>
      <c r="B30" s="131"/>
      <c r="C30" s="132"/>
    </row>
    <row r="31">
      <c r="A31" s="130">
        <v>30.0</v>
      </c>
      <c r="B31" s="135"/>
      <c r="C31" s="136"/>
    </row>
    <row r="32">
      <c r="A32" s="141">
        <v>31.0</v>
      </c>
      <c r="B32" s="142"/>
      <c r="C32" s="143"/>
    </row>
    <row r="33">
      <c r="A33" s="80"/>
      <c r="B33" s="150" t="s">
        <v>121</v>
      </c>
      <c r="C33" s="151">
        <f>SUM(C2:C32)</f>
        <v>0</v>
      </c>
    </row>
  </sheetData>
  <conditionalFormatting sqref="C2">
    <cfRule type="cellIs" dxfId="2" priority="1" operator="lessThan">
      <formula>1</formula>
    </cfRule>
  </conditionalFormatting>
  <conditionalFormatting sqref="C33">
    <cfRule type="colorScale" priority="2">
      <colorScale>
        <cfvo type="formula" val="1500"/>
        <cfvo type="formula" val="2000"/>
        <cfvo type="formula" val="2500"/>
        <color rgb="FFB6D7A8"/>
        <color rgb="FFFFE599"/>
        <color rgb="FFEA9999"/>
      </colorScale>
    </cfRule>
  </conditionalFormatting>
  <conditionalFormatting sqref="C3:C32">
    <cfRule type="cellIs" dxfId="2" priority="3" operator="lessThan"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87</v>
      </c>
      <c r="B1" s="191" t="s">
        <v>123</v>
      </c>
      <c r="C1" s="123" t="s">
        <v>7</v>
      </c>
    </row>
    <row r="2">
      <c r="A2" s="130">
        <v>1.0</v>
      </c>
      <c r="B2" s="135"/>
      <c r="C2" s="136"/>
    </row>
    <row r="3">
      <c r="A3" s="130">
        <v>2.0</v>
      </c>
      <c r="B3" s="135"/>
      <c r="C3" s="136"/>
    </row>
    <row r="4">
      <c r="A4" s="130">
        <v>3.0</v>
      </c>
      <c r="B4" s="135"/>
      <c r="C4" s="136"/>
    </row>
    <row r="5">
      <c r="A5" s="130">
        <v>4.0</v>
      </c>
      <c r="B5" s="135"/>
      <c r="C5" s="136"/>
    </row>
    <row r="6">
      <c r="A6" s="130">
        <v>5.0</v>
      </c>
      <c r="B6" s="135"/>
      <c r="C6" s="136"/>
    </row>
    <row r="7">
      <c r="A7" s="130">
        <v>6.0</v>
      </c>
      <c r="B7" s="135"/>
      <c r="C7" s="136"/>
    </row>
    <row r="8">
      <c r="A8" s="130">
        <v>7.0</v>
      </c>
      <c r="B8" s="135"/>
      <c r="C8" s="136"/>
    </row>
    <row r="9">
      <c r="A9" s="130">
        <v>8.0</v>
      </c>
      <c r="B9" s="135"/>
      <c r="C9" s="136"/>
    </row>
    <row r="10">
      <c r="A10" s="130">
        <v>9.0</v>
      </c>
      <c r="B10" s="135"/>
      <c r="C10" s="136"/>
    </row>
    <row r="11">
      <c r="A11" s="130">
        <v>10.0</v>
      </c>
      <c r="B11" s="135"/>
      <c r="C11" s="136"/>
    </row>
    <row r="12">
      <c r="A12" s="130">
        <v>11.0</v>
      </c>
      <c r="B12" s="131"/>
      <c r="C12" s="132"/>
    </row>
    <row r="13">
      <c r="A13" s="130">
        <v>12.0</v>
      </c>
      <c r="B13" s="131"/>
      <c r="C13" s="132"/>
    </row>
    <row r="14">
      <c r="A14" s="130">
        <v>13.0</v>
      </c>
      <c r="B14" s="131"/>
      <c r="C14" s="132"/>
    </row>
    <row r="15">
      <c r="A15" s="130">
        <v>14.0</v>
      </c>
      <c r="B15" s="135"/>
      <c r="C15" s="136"/>
    </row>
    <row r="16">
      <c r="A16" s="130">
        <v>15.0</v>
      </c>
      <c r="B16" s="135"/>
      <c r="C16" s="136"/>
    </row>
    <row r="17">
      <c r="A17" s="130">
        <v>16.0</v>
      </c>
      <c r="B17" s="135"/>
      <c r="C17" s="136"/>
    </row>
    <row r="18">
      <c r="A18" s="130">
        <v>17.0</v>
      </c>
      <c r="B18" s="135"/>
      <c r="C18" s="136"/>
    </row>
    <row r="19">
      <c r="A19" s="130">
        <v>18.0</v>
      </c>
      <c r="B19" s="135"/>
      <c r="C19" s="136"/>
    </row>
    <row r="20">
      <c r="A20" s="130">
        <v>19.0</v>
      </c>
      <c r="B20" s="135"/>
      <c r="C20" s="136"/>
    </row>
    <row r="21">
      <c r="A21" s="130">
        <v>20.0</v>
      </c>
      <c r="B21" s="135"/>
      <c r="C21" s="136"/>
    </row>
    <row r="22">
      <c r="A22" s="130">
        <v>21.0</v>
      </c>
      <c r="B22" s="135"/>
      <c r="C22" s="136"/>
    </row>
    <row r="23">
      <c r="A23" s="130">
        <v>22.0</v>
      </c>
      <c r="B23" s="135"/>
      <c r="C23" s="136"/>
    </row>
    <row r="24">
      <c r="A24" s="130">
        <v>23.0</v>
      </c>
      <c r="B24" s="135"/>
      <c r="C24" s="136"/>
    </row>
    <row r="25">
      <c r="A25" s="130">
        <v>24.0</v>
      </c>
      <c r="B25" s="135"/>
      <c r="C25" s="136"/>
    </row>
    <row r="26">
      <c r="A26" s="130">
        <v>25.0</v>
      </c>
      <c r="B26" s="135"/>
      <c r="C26" s="136"/>
    </row>
    <row r="27">
      <c r="A27" s="130">
        <v>26.0</v>
      </c>
      <c r="B27" s="135"/>
      <c r="C27" s="136"/>
    </row>
    <row r="28">
      <c r="A28" s="130">
        <v>27.0</v>
      </c>
      <c r="B28" s="135"/>
      <c r="C28" s="136"/>
    </row>
    <row r="29">
      <c r="A29" s="130">
        <v>28.0</v>
      </c>
      <c r="B29" s="135"/>
      <c r="C29" s="136"/>
    </row>
    <row r="30">
      <c r="A30" s="130">
        <v>29.0</v>
      </c>
      <c r="B30" s="135"/>
      <c r="C30" s="136"/>
    </row>
    <row r="31">
      <c r="A31" s="130">
        <v>30.0</v>
      </c>
      <c r="B31" s="135"/>
      <c r="C31" s="136"/>
    </row>
    <row r="32">
      <c r="A32" s="141">
        <v>31.0</v>
      </c>
      <c r="B32" s="142"/>
      <c r="C32" s="143"/>
    </row>
    <row r="33">
      <c r="A33" s="80"/>
      <c r="B33" s="150" t="s">
        <v>121</v>
      </c>
      <c r="C33" s="151">
        <f>SUM(C2:C32)</f>
        <v>0</v>
      </c>
    </row>
  </sheetData>
  <conditionalFormatting sqref="C33">
    <cfRule type="colorScale" priority="1">
      <colorScale>
        <cfvo type="formula" val="1500"/>
        <cfvo type="formula" val="2000"/>
        <cfvo type="formula" val="2500"/>
        <color rgb="FFB6D7A8"/>
        <color rgb="FFFFE599"/>
        <color rgb="FFEA9999"/>
      </colorScale>
    </cfRule>
  </conditionalFormatting>
  <conditionalFormatting sqref="C2:C32">
    <cfRule type="cellIs" dxfId="2" priority="2" operator="lessThan"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87</v>
      </c>
      <c r="B1" s="192" t="s">
        <v>124</v>
      </c>
      <c r="C1" s="123" t="s">
        <v>7</v>
      </c>
      <c r="E1" s="121" t="s">
        <v>87</v>
      </c>
      <c r="F1" s="192" t="s">
        <v>111</v>
      </c>
      <c r="G1" s="123" t="s">
        <v>7</v>
      </c>
      <c r="I1" s="121" t="s">
        <v>87</v>
      </c>
      <c r="J1" s="192" t="s">
        <v>125</v>
      </c>
      <c r="K1" s="123" t="s">
        <v>7</v>
      </c>
      <c r="M1" s="121" t="s">
        <v>87</v>
      </c>
      <c r="N1" s="192" t="s">
        <v>126</v>
      </c>
      <c r="O1" s="123" t="s">
        <v>7</v>
      </c>
      <c r="Q1" s="121" t="s">
        <v>87</v>
      </c>
      <c r="R1" s="192" t="s">
        <v>112</v>
      </c>
      <c r="S1" s="123" t="s">
        <v>7</v>
      </c>
      <c r="U1" s="121" t="s">
        <v>87</v>
      </c>
      <c r="V1" s="192" t="s">
        <v>111</v>
      </c>
      <c r="W1" s="123" t="s">
        <v>7</v>
      </c>
    </row>
    <row r="2">
      <c r="A2" s="130">
        <v>1.0</v>
      </c>
      <c r="B2" s="131"/>
      <c r="C2" s="132"/>
      <c r="E2" s="130">
        <v>1.0</v>
      </c>
      <c r="F2" s="131"/>
      <c r="G2" s="136"/>
      <c r="I2" s="130">
        <v>1.0</v>
      </c>
      <c r="J2" s="131"/>
      <c r="K2" s="132"/>
      <c r="M2" s="130">
        <v>1.0</v>
      </c>
      <c r="N2" s="131"/>
      <c r="O2" s="132"/>
      <c r="Q2" s="130">
        <v>1.0</v>
      </c>
      <c r="R2" s="131"/>
      <c r="S2" s="136"/>
      <c r="U2" s="130">
        <v>1.0</v>
      </c>
      <c r="V2" s="131"/>
      <c r="W2" s="132"/>
    </row>
    <row r="3">
      <c r="A3" s="130">
        <v>2.0</v>
      </c>
      <c r="B3" s="131"/>
      <c r="C3" s="132"/>
      <c r="E3" s="130">
        <v>2.0</v>
      </c>
      <c r="F3" s="131"/>
      <c r="G3" s="136"/>
      <c r="I3" s="130">
        <v>2.0</v>
      </c>
      <c r="J3" s="135"/>
      <c r="K3" s="136"/>
      <c r="M3" s="130">
        <v>2.0</v>
      </c>
      <c r="N3" s="131"/>
      <c r="O3" s="132"/>
      <c r="Q3" s="130">
        <v>2.0</v>
      </c>
      <c r="R3" s="131"/>
      <c r="S3" s="136"/>
      <c r="U3" s="130">
        <v>2.0</v>
      </c>
      <c r="V3" s="135"/>
      <c r="W3" s="136"/>
    </row>
    <row r="4">
      <c r="A4" s="130">
        <v>3.0</v>
      </c>
      <c r="B4" s="131"/>
      <c r="C4" s="136"/>
      <c r="E4" s="130">
        <v>3.0</v>
      </c>
      <c r="F4" s="131"/>
      <c r="G4" s="136"/>
      <c r="I4" s="130">
        <v>3.0</v>
      </c>
      <c r="J4" s="135"/>
      <c r="K4" s="136"/>
      <c r="M4" s="130">
        <v>3.0</v>
      </c>
      <c r="N4" s="131"/>
      <c r="O4" s="132"/>
      <c r="Q4" s="130">
        <v>3.0</v>
      </c>
      <c r="R4" s="131"/>
      <c r="S4" s="132"/>
      <c r="U4" s="130">
        <v>3.0</v>
      </c>
      <c r="V4" s="135"/>
      <c r="W4" s="136"/>
    </row>
    <row r="5">
      <c r="A5" s="130">
        <v>4.0</v>
      </c>
      <c r="B5" s="131"/>
      <c r="C5" s="136"/>
      <c r="E5" s="130">
        <v>4.0</v>
      </c>
      <c r="F5" s="131"/>
      <c r="G5" s="132"/>
      <c r="I5" s="130">
        <v>4.0</v>
      </c>
      <c r="J5" s="135"/>
      <c r="K5" s="136"/>
      <c r="M5" s="130">
        <v>4.0</v>
      </c>
      <c r="N5" s="131"/>
      <c r="O5" s="136"/>
      <c r="Q5" s="130">
        <v>4.0</v>
      </c>
      <c r="R5" s="135"/>
      <c r="S5" s="136"/>
      <c r="U5" s="130">
        <v>4.0</v>
      </c>
      <c r="V5" s="135"/>
      <c r="W5" s="136"/>
    </row>
    <row r="6">
      <c r="A6" s="130">
        <v>5.0</v>
      </c>
      <c r="B6" s="131"/>
      <c r="C6" s="136"/>
      <c r="E6" s="130">
        <v>5.0</v>
      </c>
      <c r="F6" s="135"/>
      <c r="G6" s="136"/>
      <c r="I6" s="130">
        <v>5.0</v>
      </c>
      <c r="J6" s="135"/>
      <c r="K6" s="136"/>
      <c r="M6" s="130">
        <v>5.0</v>
      </c>
      <c r="N6" s="135"/>
      <c r="O6" s="136"/>
      <c r="Q6" s="130">
        <v>5.0</v>
      </c>
      <c r="R6" s="135"/>
      <c r="S6" s="136"/>
      <c r="U6" s="130">
        <v>5.0</v>
      </c>
      <c r="V6" s="135"/>
      <c r="W6" s="136"/>
    </row>
    <row r="7">
      <c r="A7" s="130">
        <v>6.0</v>
      </c>
      <c r="B7" s="131"/>
      <c r="C7" s="132"/>
      <c r="E7" s="130">
        <v>6.0</v>
      </c>
      <c r="F7" s="135"/>
      <c r="G7" s="136"/>
      <c r="I7" s="130">
        <v>6.0</v>
      </c>
      <c r="J7" s="135"/>
      <c r="K7" s="136"/>
      <c r="M7" s="130">
        <v>6.0</v>
      </c>
      <c r="N7" s="135"/>
      <c r="O7" s="136"/>
      <c r="Q7" s="130">
        <v>6.0</v>
      </c>
      <c r="R7" s="135"/>
      <c r="S7" s="136"/>
      <c r="U7" s="130">
        <v>6.0</v>
      </c>
      <c r="V7" s="135"/>
      <c r="W7" s="136"/>
    </row>
    <row r="8">
      <c r="A8" s="130">
        <v>7.0</v>
      </c>
      <c r="B8" s="131"/>
      <c r="C8" s="132"/>
      <c r="E8" s="130">
        <v>7.0</v>
      </c>
      <c r="F8" s="135"/>
      <c r="G8" s="136"/>
      <c r="I8" s="130">
        <v>7.0</v>
      </c>
      <c r="J8" s="135"/>
      <c r="K8" s="136"/>
      <c r="M8" s="130">
        <v>7.0</v>
      </c>
      <c r="N8" s="135"/>
      <c r="O8" s="132"/>
      <c r="Q8" s="130">
        <v>7.0</v>
      </c>
      <c r="R8" s="135"/>
      <c r="S8" s="136"/>
      <c r="U8" s="130">
        <v>7.0</v>
      </c>
      <c r="V8" s="135"/>
      <c r="W8" s="132"/>
    </row>
    <row r="9">
      <c r="A9" s="130">
        <v>8.0</v>
      </c>
      <c r="B9" s="135"/>
      <c r="C9" s="136"/>
      <c r="E9" s="130">
        <v>8.0</v>
      </c>
      <c r="F9" s="135"/>
      <c r="G9" s="136"/>
      <c r="I9" s="130">
        <v>8.0</v>
      </c>
      <c r="J9" s="135"/>
      <c r="K9" s="136"/>
      <c r="M9" s="130">
        <v>8.0</v>
      </c>
      <c r="N9" s="135"/>
      <c r="O9" s="136"/>
      <c r="Q9" s="130">
        <v>8.0</v>
      </c>
      <c r="R9" s="135"/>
      <c r="S9" s="136"/>
      <c r="U9" s="130">
        <v>8.0</v>
      </c>
      <c r="V9" s="135"/>
      <c r="W9" s="136"/>
    </row>
    <row r="10">
      <c r="A10" s="130">
        <v>9.0</v>
      </c>
      <c r="B10" s="135"/>
      <c r="C10" s="136"/>
      <c r="E10" s="130">
        <v>9.0</v>
      </c>
      <c r="F10" s="135"/>
      <c r="G10" s="136"/>
      <c r="I10" s="130">
        <v>9.0</v>
      </c>
      <c r="J10" s="135"/>
      <c r="K10" s="132"/>
      <c r="M10" s="130">
        <v>9.0</v>
      </c>
      <c r="N10" s="135"/>
      <c r="O10" s="136"/>
      <c r="Q10" s="130">
        <v>9.0</v>
      </c>
      <c r="R10" s="135"/>
      <c r="S10" s="136"/>
      <c r="U10" s="130">
        <v>9.0</v>
      </c>
      <c r="V10" s="135"/>
      <c r="W10" s="136"/>
    </row>
    <row r="11">
      <c r="A11" s="130">
        <v>10.0</v>
      </c>
      <c r="B11" s="135"/>
      <c r="C11" s="136"/>
      <c r="E11" s="130">
        <v>10.0</v>
      </c>
      <c r="F11" s="135"/>
      <c r="G11" s="136"/>
      <c r="I11" s="130">
        <v>10.0</v>
      </c>
      <c r="J11" s="135"/>
      <c r="K11" s="136"/>
      <c r="M11" s="130">
        <v>10.0</v>
      </c>
      <c r="N11" s="135"/>
      <c r="O11" s="136"/>
      <c r="Q11" s="130">
        <v>10.0</v>
      </c>
      <c r="R11" s="135"/>
      <c r="S11" s="136"/>
      <c r="U11" s="130">
        <v>10.0</v>
      </c>
      <c r="V11" s="135"/>
      <c r="W11" s="136"/>
    </row>
    <row r="12">
      <c r="A12" s="130">
        <v>11.0</v>
      </c>
      <c r="B12" s="135"/>
      <c r="C12" s="136"/>
      <c r="E12" s="130">
        <v>11.0</v>
      </c>
      <c r="F12" s="135"/>
      <c r="G12" s="136"/>
      <c r="I12" s="130">
        <v>11.0</v>
      </c>
      <c r="J12" s="135"/>
      <c r="K12" s="136"/>
      <c r="M12" s="130">
        <v>11.0</v>
      </c>
      <c r="N12" s="135"/>
      <c r="O12" s="136"/>
      <c r="Q12" s="130">
        <v>11.0</v>
      </c>
      <c r="R12" s="135"/>
      <c r="S12" s="136"/>
      <c r="U12" s="130">
        <v>11.0</v>
      </c>
      <c r="V12" s="135"/>
      <c r="W12" s="136"/>
    </row>
    <row r="13">
      <c r="A13" s="130">
        <v>12.0</v>
      </c>
      <c r="B13" s="135"/>
      <c r="C13" s="136"/>
      <c r="E13" s="130">
        <v>12.0</v>
      </c>
      <c r="F13" s="135"/>
      <c r="G13" s="136"/>
      <c r="I13" s="130">
        <v>12.0</v>
      </c>
      <c r="J13" s="135"/>
      <c r="K13" s="136"/>
      <c r="M13" s="130">
        <v>12.0</v>
      </c>
      <c r="N13" s="135"/>
      <c r="O13" s="136"/>
      <c r="Q13" s="130">
        <v>12.0</v>
      </c>
      <c r="R13" s="135"/>
      <c r="S13" s="136"/>
      <c r="U13" s="130">
        <v>12.0</v>
      </c>
      <c r="V13" s="135"/>
      <c r="W13" s="136"/>
    </row>
    <row r="14">
      <c r="A14" s="130">
        <v>13.0</v>
      </c>
      <c r="B14" s="135"/>
      <c r="C14" s="136"/>
      <c r="E14" s="130">
        <v>13.0</v>
      </c>
      <c r="F14" s="135"/>
      <c r="G14" s="136"/>
      <c r="I14" s="130">
        <v>13.0</v>
      </c>
      <c r="J14" s="135"/>
      <c r="K14" s="136"/>
      <c r="M14" s="130">
        <v>13.0</v>
      </c>
      <c r="N14" s="135"/>
      <c r="O14" s="136"/>
      <c r="Q14" s="130">
        <v>13.0</v>
      </c>
      <c r="R14" s="135"/>
      <c r="S14" s="136"/>
      <c r="U14" s="130">
        <v>13.0</v>
      </c>
      <c r="V14" s="135"/>
      <c r="W14" s="136"/>
    </row>
    <row r="15">
      <c r="A15" s="130">
        <v>14.0</v>
      </c>
      <c r="B15" s="135"/>
      <c r="C15" s="136"/>
      <c r="E15" s="130">
        <v>14.0</v>
      </c>
      <c r="F15" s="135"/>
      <c r="G15" s="136"/>
      <c r="I15" s="130">
        <v>14.0</v>
      </c>
      <c r="J15" s="135"/>
      <c r="K15" s="136"/>
      <c r="M15" s="130">
        <v>14.0</v>
      </c>
      <c r="N15" s="135"/>
      <c r="O15" s="136"/>
      <c r="Q15" s="130">
        <v>14.0</v>
      </c>
      <c r="R15" s="135"/>
      <c r="S15" s="136"/>
      <c r="U15" s="130">
        <v>14.0</v>
      </c>
      <c r="V15" s="135"/>
      <c r="W15" s="136"/>
    </row>
    <row r="16">
      <c r="A16" s="130">
        <v>15.0</v>
      </c>
      <c r="B16" s="135"/>
      <c r="C16" s="136"/>
      <c r="E16" s="130">
        <v>15.0</v>
      </c>
      <c r="F16" s="135"/>
      <c r="G16" s="136"/>
      <c r="I16" s="130">
        <v>15.0</v>
      </c>
      <c r="J16" s="135"/>
      <c r="K16" s="136"/>
      <c r="M16" s="130">
        <v>15.0</v>
      </c>
      <c r="N16" s="135"/>
      <c r="O16" s="136"/>
      <c r="Q16" s="130">
        <v>15.0</v>
      </c>
      <c r="R16" s="135"/>
      <c r="S16" s="136"/>
      <c r="U16" s="130">
        <v>15.0</v>
      </c>
      <c r="V16" s="135"/>
      <c r="W16" s="136"/>
    </row>
    <row r="17">
      <c r="A17" s="130">
        <v>16.0</v>
      </c>
      <c r="B17" s="135"/>
      <c r="C17" s="136"/>
      <c r="E17" s="130">
        <v>16.0</v>
      </c>
      <c r="F17" s="135"/>
      <c r="G17" s="136"/>
      <c r="I17" s="130">
        <v>16.0</v>
      </c>
      <c r="J17" s="135"/>
      <c r="K17" s="136"/>
      <c r="M17" s="130">
        <v>16.0</v>
      </c>
      <c r="N17" s="135"/>
      <c r="O17" s="136"/>
      <c r="Q17" s="130">
        <v>16.0</v>
      </c>
      <c r="R17" s="135"/>
      <c r="S17" s="136"/>
      <c r="U17" s="130">
        <v>16.0</v>
      </c>
      <c r="V17" s="135"/>
      <c r="W17" s="136"/>
    </row>
    <row r="18">
      <c r="A18" s="130">
        <v>17.0</v>
      </c>
      <c r="B18" s="135"/>
      <c r="C18" s="136"/>
      <c r="E18" s="130">
        <v>17.0</v>
      </c>
      <c r="F18" s="135"/>
      <c r="G18" s="136"/>
      <c r="I18" s="130">
        <v>17.0</v>
      </c>
      <c r="J18" s="135"/>
      <c r="K18" s="136"/>
      <c r="M18" s="130">
        <v>17.0</v>
      </c>
      <c r="N18" s="135"/>
      <c r="O18" s="136"/>
      <c r="Q18" s="130">
        <v>17.0</v>
      </c>
      <c r="R18" s="135"/>
      <c r="S18" s="136"/>
      <c r="U18" s="130">
        <v>17.0</v>
      </c>
      <c r="V18" s="135"/>
      <c r="W18" s="136"/>
    </row>
    <row r="19">
      <c r="A19" s="130">
        <v>18.0</v>
      </c>
      <c r="B19" s="135"/>
      <c r="C19" s="136"/>
      <c r="E19" s="130">
        <v>18.0</v>
      </c>
      <c r="F19" s="135"/>
      <c r="G19" s="136"/>
      <c r="I19" s="130">
        <v>18.0</v>
      </c>
      <c r="J19" s="135"/>
      <c r="K19" s="136"/>
      <c r="M19" s="130">
        <v>18.0</v>
      </c>
      <c r="N19" s="135"/>
      <c r="O19" s="136"/>
      <c r="Q19" s="130">
        <v>18.0</v>
      </c>
      <c r="R19" s="135"/>
      <c r="S19" s="136"/>
      <c r="U19" s="130">
        <v>18.0</v>
      </c>
      <c r="V19" s="135"/>
      <c r="W19" s="136"/>
    </row>
    <row r="20">
      <c r="A20" s="130">
        <v>19.0</v>
      </c>
      <c r="B20" s="135"/>
      <c r="C20" s="136"/>
      <c r="E20" s="130">
        <v>19.0</v>
      </c>
      <c r="F20" s="135"/>
      <c r="G20" s="136"/>
      <c r="I20" s="130">
        <v>19.0</v>
      </c>
      <c r="J20" s="135"/>
      <c r="K20" s="136"/>
      <c r="M20" s="130">
        <v>19.0</v>
      </c>
      <c r="N20" s="135"/>
      <c r="O20" s="136"/>
      <c r="Q20" s="130">
        <v>19.0</v>
      </c>
      <c r="R20" s="135"/>
      <c r="S20" s="136"/>
      <c r="U20" s="130">
        <v>19.0</v>
      </c>
      <c r="V20" s="135"/>
      <c r="W20" s="136"/>
    </row>
    <row r="21">
      <c r="A21" s="130">
        <v>20.0</v>
      </c>
      <c r="B21" s="135"/>
      <c r="C21" s="136"/>
      <c r="E21" s="130">
        <v>20.0</v>
      </c>
      <c r="F21" s="135"/>
      <c r="G21" s="136"/>
      <c r="I21" s="130">
        <v>20.0</v>
      </c>
      <c r="J21" s="135"/>
      <c r="K21" s="136"/>
      <c r="M21" s="130">
        <v>20.0</v>
      </c>
      <c r="N21" s="135"/>
      <c r="O21" s="136"/>
      <c r="Q21" s="130">
        <v>20.0</v>
      </c>
      <c r="R21" s="135"/>
      <c r="S21" s="136"/>
      <c r="U21" s="130">
        <v>20.0</v>
      </c>
      <c r="V21" s="135"/>
      <c r="W21" s="136"/>
    </row>
    <row r="22">
      <c r="A22" s="130">
        <v>21.0</v>
      </c>
      <c r="B22" s="135"/>
      <c r="C22" s="136"/>
      <c r="E22" s="130">
        <v>21.0</v>
      </c>
      <c r="F22" s="135"/>
      <c r="G22" s="136"/>
      <c r="I22" s="130">
        <v>21.0</v>
      </c>
      <c r="J22" s="135"/>
      <c r="K22" s="136"/>
      <c r="M22" s="130">
        <v>21.0</v>
      </c>
      <c r="N22" s="135"/>
      <c r="O22" s="136"/>
      <c r="Q22" s="130">
        <v>21.0</v>
      </c>
      <c r="R22" s="135"/>
      <c r="S22" s="132"/>
      <c r="U22" s="130">
        <v>21.0</v>
      </c>
      <c r="V22" s="135"/>
      <c r="W22" s="136"/>
    </row>
    <row r="23">
      <c r="A23" s="130">
        <v>22.0</v>
      </c>
      <c r="B23" s="135"/>
      <c r="C23" s="136"/>
      <c r="E23" s="130">
        <v>22.0</v>
      </c>
      <c r="F23" s="135"/>
      <c r="G23" s="136"/>
      <c r="I23" s="130">
        <v>22.0</v>
      </c>
      <c r="J23" s="135"/>
      <c r="K23" s="136"/>
      <c r="M23" s="130">
        <v>22.0</v>
      </c>
      <c r="N23" s="135"/>
      <c r="O23" s="136"/>
      <c r="Q23" s="130">
        <v>22.0</v>
      </c>
      <c r="R23" s="135"/>
      <c r="S23" s="136"/>
      <c r="U23" s="130">
        <v>22.0</v>
      </c>
      <c r="V23" s="135"/>
      <c r="W23" s="136"/>
    </row>
    <row r="24">
      <c r="A24" s="130">
        <v>23.0</v>
      </c>
      <c r="B24" s="135"/>
      <c r="C24" s="136"/>
      <c r="E24" s="130">
        <v>23.0</v>
      </c>
      <c r="F24" s="135"/>
      <c r="G24" s="136"/>
      <c r="I24" s="130">
        <v>23.0</v>
      </c>
      <c r="J24" s="135"/>
      <c r="K24" s="136"/>
      <c r="M24" s="130">
        <v>23.0</v>
      </c>
      <c r="N24" s="135"/>
      <c r="O24" s="136"/>
      <c r="Q24" s="130">
        <v>23.0</v>
      </c>
      <c r="R24" s="135"/>
      <c r="S24" s="136"/>
      <c r="U24" s="130">
        <v>23.0</v>
      </c>
      <c r="V24" s="135"/>
      <c r="W24" s="136"/>
    </row>
    <row r="25">
      <c r="A25" s="130">
        <v>24.0</v>
      </c>
      <c r="B25" s="135"/>
      <c r="C25" s="136"/>
      <c r="E25" s="130">
        <v>24.0</v>
      </c>
      <c r="F25" s="135"/>
      <c r="G25" s="136"/>
      <c r="I25" s="130">
        <v>24.0</v>
      </c>
      <c r="J25" s="135"/>
      <c r="K25" s="136"/>
      <c r="M25" s="130">
        <v>24.0</v>
      </c>
      <c r="N25" s="135"/>
      <c r="O25" s="136"/>
      <c r="Q25" s="130">
        <v>24.0</v>
      </c>
      <c r="R25" s="135"/>
      <c r="S25" s="136"/>
      <c r="U25" s="130">
        <v>24.0</v>
      </c>
      <c r="V25" s="135"/>
      <c r="W25" s="136"/>
    </row>
    <row r="26">
      <c r="A26" s="130">
        <v>25.0</v>
      </c>
      <c r="B26" s="135"/>
      <c r="C26" s="136"/>
      <c r="E26" s="130">
        <v>25.0</v>
      </c>
      <c r="F26" s="135"/>
      <c r="G26" s="136"/>
      <c r="I26" s="130">
        <v>25.0</v>
      </c>
      <c r="J26" s="135"/>
      <c r="K26" s="136"/>
      <c r="M26" s="130">
        <v>25.0</v>
      </c>
      <c r="N26" s="135"/>
      <c r="O26" s="136"/>
      <c r="Q26" s="130">
        <v>25.0</v>
      </c>
      <c r="R26" s="135"/>
      <c r="S26" s="136"/>
      <c r="U26" s="130">
        <v>25.0</v>
      </c>
      <c r="V26" s="135"/>
      <c r="W26" s="136"/>
    </row>
    <row r="27">
      <c r="A27" s="130">
        <v>26.0</v>
      </c>
      <c r="B27" s="135"/>
      <c r="C27" s="136"/>
      <c r="E27" s="130">
        <v>26.0</v>
      </c>
      <c r="F27" s="135"/>
      <c r="G27" s="136"/>
      <c r="I27" s="130">
        <v>26.0</v>
      </c>
      <c r="J27" s="135"/>
      <c r="K27" s="136"/>
      <c r="M27" s="130">
        <v>26.0</v>
      </c>
      <c r="N27" s="135"/>
      <c r="O27" s="136"/>
      <c r="Q27" s="130">
        <v>26.0</v>
      </c>
      <c r="R27" s="135"/>
      <c r="S27" s="136"/>
      <c r="U27" s="130">
        <v>26.0</v>
      </c>
      <c r="V27" s="135"/>
      <c r="W27" s="136"/>
    </row>
    <row r="28">
      <c r="A28" s="130">
        <v>27.0</v>
      </c>
      <c r="B28" s="135"/>
      <c r="C28" s="136"/>
      <c r="E28" s="130">
        <v>27.0</v>
      </c>
      <c r="F28" s="135"/>
      <c r="G28" s="136"/>
      <c r="I28" s="130">
        <v>27.0</v>
      </c>
      <c r="J28" s="135"/>
      <c r="K28" s="136"/>
      <c r="M28" s="130">
        <v>27.0</v>
      </c>
      <c r="N28" s="135"/>
      <c r="O28" s="136"/>
      <c r="Q28" s="130">
        <v>27.0</v>
      </c>
      <c r="R28" s="135"/>
      <c r="S28" s="136"/>
      <c r="U28" s="130">
        <v>27.0</v>
      </c>
      <c r="V28" s="135"/>
      <c r="W28" s="136"/>
    </row>
    <row r="29">
      <c r="A29" s="130">
        <v>28.0</v>
      </c>
      <c r="B29" s="135"/>
      <c r="C29" s="136"/>
      <c r="E29" s="130">
        <v>28.0</v>
      </c>
      <c r="F29" s="135"/>
      <c r="G29" s="136"/>
      <c r="I29" s="130">
        <v>28.0</v>
      </c>
      <c r="J29" s="135"/>
      <c r="K29" s="136"/>
      <c r="M29" s="130">
        <v>28.0</v>
      </c>
      <c r="N29" s="135"/>
      <c r="O29" s="136"/>
      <c r="Q29" s="130">
        <v>28.0</v>
      </c>
      <c r="R29" s="135"/>
      <c r="S29" s="136"/>
      <c r="U29" s="130">
        <v>28.0</v>
      </c>
      <c r="V29" s="135"/>
      <c r="W29" s="136"/>
    </row>
    <row r="30">
      <c r="A30" s="130">
        <v>29.0</v>
      </c>
      <c r="B30" s="135"/>
      <c r="C30" s="136"/>
      <c r="E30" s="130">
        <v>29.0</v>
      </c>
      <c r="F30" s="135"/>
      <c r="G30" s="136"/>
      <c r="I30" s="130">
        <v>29.0</v>
      </c>
      <c r="J30" s="135"/>
      <c r="K30" s="136"/>
      <c r="M30" s="130">
        <v>29.0</v>
      </c>
      <c r="N30" s="135"/>
      <c r="O30" s="136"/>
      <c r="Q30" s="130">
        <v>29.0</v>
      </c>
      <c r="R30" s="135"/>
      <c r="S30" s="136"/>
      <c r="U30" s="130">
        <v>29.0</v>
      </c>
      <c r="V30" s="135"/>
      <c r="W30" s="136"/>
    </row>
    <row r="31">
      <c r="A31" s="130">
        <v>30.0</v>
      </c>
      <c r="B31" s="135"/>
      <c r="C31" s="136"/>
      <c r="E31" s="130">
        <v>30.0</v>
      </c>
      <c r="F31" s="135"/>
      <c r="G31" s="136"/>
      <c r="I31" s="130">
        <v>30.0</v>
      </c>
      <c r="J31" s="135"/>
      <c r="K31" s="136"/>
      <c r="M31" s="130">
        <v>30.0</v>
      </c>
      <c r="N31" s="135"/>
      <c r="O31" s="136"/>
      <c r="Q31" s="130">
        <v>30.0</v>
      </c>
      <c r="R31" s="135"/>
      <c r="S31" s="136"/>
      <c r="U31" s="130">
        <v>30.0</v>
      </c>
      <c r="V31" s="135"/>
      <c r="W31" s="136"/>
    </row>
    <row r="32">
      <c r="A32" s="141">
        <v>31.0</v>
      </c>
      <c r="B32" s="142"/>
      <c r="C32" s="143"/>
      <c r="E32" s="141">
        <v>31.0</v>
      </c>
      <c r="F32" s="142"/>
      <c r="G32" s="143"/>
      <c r="I32" s="141">
        <v>31.0</v>
      </c>
      <c r="J32" s="142"/>
      <c r="K32" s="143"/>
      <c r="M32" s="141">
        <v>31.0</v>
      </c>
      <c r="N32" s="142"/>
      <c r="O32" s="143"/>
      <c r="Q32" s="141">
        <v>31.0</v>
      </c>
      <c r="R32" s="142"/>
      <c r="S32" s="143"/>
      <c r="U32" s="141">
        <v>31.0</v>
      </c>
      <c r="V32" s="142"/>
      <c r="W32" s="143"/>
    </row>
    <row r="33">
      <c r="A33" s="80"/>
      <c r="B33" s="193" t="s">
        <v>19</v>
      </c>
      <c r="C33" s="151">
        <f>SUM(C2:C32)</f>
        <v>0</v>
      </c>
      <c r="E33" s="80"/>
      <c r="F33" s="193" t="s">
        <v>19</v>
      </c>
      <c r="G33" s="151">
        <f>SUM(G2:G32)</f>
        <v>0</v>
      </c>
      <c r="I33" s="80"/>
      <c r="J33" s="193" t="s">
        <v>19</v>
      </c>
      <c r="K33" s="151">
        <f>SUM(K2:K32)</f>
        <v>0</v>
      </c>
      <c r="M33" s="80"/>
      <c r="N33" s="193" t="s">
        <v>19</v>
      </c>
      <c r="O33" s="151">
        <f>SUM(O2:O32)</f>
        <v>0</v>
      </c>
      <c r="Q33" s="80"/>
      <c r="R33" s="193" t="s">
        <v>19</v>
      </c>
      <c r="S33" s="151">
        <f>SUM(S2:S32)</f>
        <v>0</v>
      </c>
      <c r="U33" s="80"/>
      <c r="V33" s="193" t="s">
        <v>19</v>
      </c>
      <c r="W33" s="151">
        <f>SUM(W2:W32)</f>
        <v>0</v>
      </c>
    </row>
    <row r="37">
      <c r="A37" s="95" t="s">
        <v>127</v>
      </c>
      <c r="B37" s="96">
        <f>C33+G33+K33+O33+S33+W33</f>
        <v>0</v>
      </c>
    </row>
  </sheetData>
  <conditionalFormatting sqref="C33 G33 K33 O33 S33 W33">
    <cfRule type="colorScale" priority="1">
      <colorScale>
        <cfvo type="formula" val="1500"/>
        <cfvo type="formula" val="2000"/>
        <cfvo type="formula" val="2500"/>
        <color rgb="FFB6D7A8"/>
        <color rgb="FFFFE599"/>
        <color rgb="FFEA9999"/>
      </colorScale>
    </cfRule>
  </conditionalFormatting>
  <conditionalFormatting sqref="C2:C32 G2:G32 K2:K32 O2:O32 S2:S32 W2:W32">
    <cfRule type="cellIs" dxfId="2" priority="2" operator="lessThan">
      <formula>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94" t="s">
        <v>128</v>
      </c>
      <c r="B1" s="194" t="s">
        <v>129</v>
      </c>
      <c r="C1" s="194" t="s">
        <v>130</v>
      </c>
      <c r="D1" s="194" t="s">
        <v>7</v>
      </c>
      <c r="F1" s="194" t="s">
        <v>128</v>
      </c>
      <c r="G1" s="194" t="s">
        <v>129</v>
      </c>
      <c r="H1" s="194" t="s">
        <v>130</v>
      </c>
      <c r="I1" s="194" t="s">
        <v>7</v>
      </c>
      <c r="K1" s="194" t="s">
        <v>128</v>
      </c>
      <c r="L1" s="194" t="s">
        <v>129</v>
      </c>
      <c r="M1" s="194" t="s">
        <v>130</v>
      </c>
      <c r="N1" s="194" t="s">
        <v>7</v>
      </c>
      <c r="P1" s="194" t="s">
        <v>128</v>
      </c>
      <c r="Q1" s="194" t="s">
        <v>129</v>
      </c>
      <c r="R1" s="194" t="s">
        <v>130</v>
      </c>
      <c r="S1" s="194" t="s">
        <v>7</v>
      </c>
      <c r="U1" s="194" t="s">
        <v>128</v>
      </c>
      <c r="V1" s="195" t="s">
        <v>70</v>
      </c>
      <c r="W1" s="194" t="s">
        <v>130</v>
      </c>
      <c r="X1" s="194" t="s">
        <v>7</v>
      </c>
    </row>
    <row r="2">
      <c r="A2" s="135">
        <v>1.0</v>
      </c>
      <c r="B2" s="135" t="s">
        <v>131</v>
      </c>
      <c r="C2" s="131"/>
      <c r="D2" s="131"/>
      <c r="F2" s="135">
        <v>1.0</v>
      </c>
      <c r="G2" s="135" t="s">
        <v>132</v>
      </c>
      <c r="H2" s="131"/>
      <c r="I2" s="131"/>
      <c r="K2" s="135">
        <v>1.0</v>
      </c>
      <c r="L2" s="135" t="s">
        <v>133</v>
      </c>
      <c r="M2" s="131"/>
      <c r="N2" s="131"/>
      <c r="P2" s="138">
        <v>1.0</v>
      </c>
      <c r="Q2" s="138" t="s">
        <v>84</v>
      </c>
      <c r="R2" s="138"/>
      <c r="S2" s="138"/>
      <c r="U2" s="196">
        <v>1.0</v>
      </c>
      <c r="V2" s="196"/>
      <c r="W2" s="138"/>
      <c r="X2" s="196"/>
    </row>
    <row r="3">
      <c r="A3" s="135">
        <v>2.0</v>
      </c>
      <c r="B3" s="135" t="s">
        <v>131</v>
      </c>
      <c r="C3" s="131"/>
      <c r="D3" s="131"/>
      <c r="F3" s="135">
        <v>2.0</v>
      </c>
      <c r="G3" s="135" t="s">
        <v>132</v>
      </c>
      <c r="H3" s="131"/>
      <c r="I3" s="131"/>
      <c r="K3" s="135">
        <v>2.0</v>
      </c>
      <c r="L3" s="135" t="s">
        <v>133</v>
      </c>
      <c r="M3" s="131"/>
      <c r="N3" s="131"/>
      <c r="P3" s="138">
        <v>2.0</v>
      </c>
      <c r="Q3" s="138" t="s">
        <v>84</v>
      </c>
      <c r="R3" s="138"/>
      <c r="S3" s="138"/>
      <c r="U3" s="138"/>
      <c r="V3" s="138"/>
      <c r="W3" s="138"/>
      <c r="X3" s="138"/>
    </row>
    <row r="4">
      <c r="A4" s="135">
        <v>3.0</v>
      </c>
      <c r="B4" s="135" t="s">
        <v>131</v>
      </c>
      <c r="C4" s="131"/>
      <c r="D4" s="131"/>
      <c r="F4" s="135">
        <v>3.0</v>
      </c>
      <c r="G4" s="135" t="s">
        <v>132</v>
      </c>
      <c r="H4" s="131"/>
      <c r="I4" s="131"/>
      <c r="K4" s="135">
        <v>3.0</v>
      </c>
      <c r="L4" s="135" t="s">
        <v>133</v>
      </c>
      <c r="M4" s="131"/>
      <c r="N4" s="131"/>
      <c r="P4" s="138">
        <v>3.0</v>
      </c>
      <c r="Q4" s="138" t="s">
        <v>84</v>
      </c>
      <c r="R4" s="138"/>
      <c r="S4" s="138"/>
      <c r="U4" s="138"/>
      <c r="V4" s="138"/>
      <c r="W4" s="138"/>
      <c r="X4" s="138"/>
    </row>
    <row r="5">
      <c r="A5" s="135">
        <v>4.0</v>
      </c>
      <c r="B5" s="135" t="s">
        <v>131</v>
      </c>
      <c r="C5" s="131"/>
      <c r="D5" s="131"/>
      <c r="F5" s="135">
        <v>4.0</v>
      </c>
      <c r="G5" s="135" t="s">
        <v>132</v>
      </c>
      <c r="H5" s="135"/>
      <c r="I5" s="135"/>
      <c r="K5" s="135">
        <v>4.0</v>
      </c>
      <c r="L5" s="135" t="s">
        <v>133</v>
      </c>
      <c r="M5" s="131"/>
      <c r="N5" s="131"/>
      <c r="P5" s="138">
        <v>4.0</v>
      </c>
      <c r="Q5" s="138" t="s">
        <v>84</v>
      </c>
      <c r="R5" s="138"/>
      <c r="S5" s="138"/>
      <c r="U5" s="138"/>
      <c r="V5" s="138"/>
      <c r="W5" s="138"/>
      <c r="X5" s="138"/>
    </row>
    <row r="6">
      <c r="A6" s="135">
        <v>5.0</v>
      </c>
      <c r="B6" s="135" t="s">
        <v>131</v>
      </c>
      <c r="C6" s="135"/>
      <c r="D6" s="131"/>
      <c r="F6" s="135">
        <v>5.0</v>
      </c>
      <c r="G6" s="135" t="s">
        <v>132</v>
      </c>
      <c r="H6" s="135"/>
      <c r="I6" s="135"/>
      <c r="K6" s="135">
        <v>5.0</v>
      </c>
      <c r="L6" s="135" t="s">
        <v>133</v>
      </c>
      <c r="M6" s="131"/>
      <c r="N6" s="131"/>
      <c r="P6" s="138"/>
      <c r="Q6" s="138"/>
      <c r="R6" s="138"/>
      <c r="S6" s="138"/>
      <c r="U6" s="138"/>
      <c r="V6" s="138"/>
      <c r="W6" s="138"/>
      <c r="X6" s="138"/>
    </row>
    <row r="7">
      <c r="A7" s="135">
        <v>6.0</v>
      </c>
      <c r="B7" s="135" t="s">
        <v>131</v>
      </c>
      <c r="C7" s="135"/>
      <c r="D7" s="135"/>
      <c r="F7" s="135">
        <v>6.0</v>
      </c>
      <c r="G7" s="135" t="s">
        <v>132</v>
      </c>
      <c r="H7" s="135"/>
      <c r="I7" s="135"/>
      <c r="K7" s="135">
        <v>6.0</v>
      </c>
      <c r="L7" s="135" t="s">
        <v>133</v>
      </c>
      <c r="M7" s="135"/>
      <c r="N7" s="131"/>
      <c r="P7" s="138"/>
      <c r="Q7" s="138"/>
      <c r="R7" s="138"/>
      <c r="S7" s="138"/>
      <c r="U7" s="138"/>
      <c r="V7" s="138"/>
      <c r="W7" s="138"/>
      <c r="X7" s="138"/>
    </row>
    <row r="8">
      <c r="A8" s="135">
        <v>7.0</v>
      </c>
      <c r="B8" s="135" t="s">
        <v>131</v>
      </c>
      <c r="C8" s="135"/>
      <c r="D8" s="135"/>
      <c r="F8" s="135">
        <v>7.0</v>
      </c>
      <c r="G8" s="135" t="s">
        <v>132</v>
      </c>
      <c r="H8" s="135"/>
      <c r="I8" s="135"/>
      <c r="K8" s="135">
        <v>7.0</v>
      </c>
      <c r="L8" s="135" t="s">
        <v>133</v>
      </c>
      <c r="M8" s="135"/>
      <c r="N8" s="131"/>
      <c r="P8" s="138"/>
      <c r="Q8" s="138"/>
      <c r="R8" s="138"/>
      <c r="S8" s="138"/>
      <c r="U8" s="138"/>
      <c r="V8" s="138"/>
      <c r="W8" s="138"/>
      <c r="X8" s="138"/>
    </row>
    <row r="9">
      <c r="A9" s="135">
        <v>8.0</v>
      </c>
      <c r="B9" s="135" t="s">
        <v>131</v>
      </c>
      <c r="C9" s="135"/>
      <c r="D9" s="135"/>
      <c r="F9" s="135">
        <v>8.0</v>
      </c>
      <c r="G9" s="135" t="s">
        <v>132</v>
      </c>
      <c r="H9" s="135"/>
      <c r="I9" s="135"/>
      <c r="K9" s="135">
        <v>8.0</v>
      </c>
      <c r="L9" s="135" t="s">
        <v>133</v>
      </c>
      <c r="M9" s="135"/>
      <c r="N9" s="131"/>
      <c r="P9" s="138"/>
      <c r="Q9" s="138"/>
      <c r="R9" s="138"/>
      <c r="S9" s="138"/>
      <c r="U9" s="138"/>
      <c r="V9" s="138"/>
      <c r="W9" s="138"/>
      <c r="X9" s="138"/>
    </row>
    <row r="10">
      <c r="A10" s="135">
        <v>9.0</v>
      </c>
      <c r="B10" s="135" t="s">
        <v>131</v>
      </c>
      <c r="C10" s="135"/>
      <c r="D10" s="135"/>
      <c r="F10" s="135">
        <v>9.0</v>
      </c>
      <c r="G10" s="135" t="s">
        <v>132</v>
      </c>
      <c r="H10" s="135"/>
      <c r="I10" s="135"/>
      <c r="K10" s="135">
        <v>9.0</v>
      </c>
      <c r="L10" s="135" t="s">
        <v>133</v>
      </c>
      <c r="M10" s="135"/>
      <c r="N10" s="131"/>
      <c r="P10" s="138"/>
      <c r="Q10" s="138"/>
      <c r="R10" s="138"/>
      <c r="S10" s="138"/>
      <c r="U10" s="138"/>
      <c r="V10" s="138"/>
      <c r="W10" s="138"/>
      <c r="X10" s="138"/>
    </row>
    <row r="11">
      <c r="A11" s="135">
        <v>10.0</v>
      </c>
      <c r="B11" s="135" t="s">
        <v>131</v>
      </c>
      <c r="C11" s="135"/>
      <c r="D11" s="135"/>
      <c r="F11" s="135">
        <v>10.0</v>
      </c>
      <c r="G11" s="135" t="s">
        <v>132</v>
      </c>
      <c r="H11" s="135"/>
      <c r="I11" s="135"/>
      <c r="K11" s="135">
        <v>10.0</v>
      </c>
      <c r="L11" s="135" t="s">
        <v>133</v>
      </c>
      <c r="M11" s="135"/>
      <c r="N11" s="131"/>
      <c r="P11" s="138"/>
      <c r="Q11" s="138"/>
      <c r="R11" s="138"/>
      <c r="S11" s="138"/>
      <c r="U11" s="138"/>
      <c r="V11" s="138"/>
      <c r="W11" s="138"/>
      <c r="X11" s="138"/>
    </row>
    <row r="12">
      <c r="A12" s="135">
        <v>11.0</v>
      </c>
      <c r="B12" s="135" t="s">
        <v>131</v>
      </c>
      <c r="C12" s="135"/>
      <c r="D12" s="135"/>
      <c r="F12" s="135">
        <v>11.0</v>
      </c>
      <c r="G12" s="135" t="s">
        <v>132</v>
      </c>
      <c r="H12" s="135"/>
      <c r="I12" s="135"/>
      <c r="K12" s="135">
        <v>11.0</v>
      </c>
      <c r="L12" s="135" t="s">
        <v>133</v>
      </c>
      <c r="M12" s="135"/>
      <c r="N12" s="135"/>
      <c r="P12" s="138"/>
      <c r="Q12" s="138"/>
      <c r="R12" s="138"/>
      <c r="S12" s="138"/>
      <c r="U12" s="138"/>
      <c r="V12" s="138"/>
      <c r="W12" s="138"/>
      <c r="X12" s="138"/>
    </row>
    <row r="13">
      <c r="A13" s="135">
        <v>12.0</v>
      </c>
      <c r="B13" s="135" t="s">
        <v>131</v>
      </c>
      <c r="C13" s="135"/>
      <c r="D13" s="135"/>
      <c r="F13" s="135">
        <v>12.0</v>
      </c>
      <c r="G13" s="135" t="s">
        <v>132</v>
      </c>
      <c r="H13" s="135"/>
      <c r="I13" s="135"/>
      <c r="K13" s="135">
        <v>12.0</v>
      </c>
      <c r="L13" s="135" t="s">
        <v>133</v>
      </c>
      <c r="M13" s="135"/>
      <c r="N13" s="135"/>
      <c r="P13" s="138"/>
      <c r="Q13" s="138"/>
      <c r="R13" s="138"/>
      <c r="S13" s="138"/>
      <c r="U13" s="138"/>
      <c r="V13" s="138"/>
      <c r="W13" s="138"/>
      <c r="X13" s="138"/>
    </row>
    <row r="14">
      <c r="A14" s="135"/>
      <c r="B14" s="135"/>
      <c r="C14" s="135"/>
      <c r="D14" s="135"/>
      <c r="F14" s="135"/>
      <c r="G14" s="135"/>
      <c r="H14" s="135"/>
      <c r="I14" s="135"/>
      <c r="K14" s="135"/>
      <c r="L14" s="135"/>
      <c r="M14" s="135"/>
      <c r="N14" s="135"/>
      <c r="P14" s="138"/>
      <c r="Q14" s="138"/>
      <c r="R14" s="138"/>
      <c r="S14" s="138"/>
      <c r="U14" s="138"/>
      <c r="V14" s="138"/>
      <c r="W14" s="138"/>
      <c r="X14" s="138"/>
    </row>
    <row r="15">
      <c r="A15" s="135"/>
      <c r="B15" s="135"/>
      <c r="C15" s="135"/>
      <c r="D15" s="135"/>
      <c r="F15" s="135"/>
      <c r="G15" s="135"/>
      <c r="H15" s="135"/>
      <c r="I15" s="135"/>
      <c r="K15" s="135"/>
      <c r="L15" s="135"/>
      <c r="M15" s="135"/>
      <c r="N15" s="135"/>
      <c r="P15" s="138"/>
      <c r="Q15" s="138"/>
      <c r="R15" s="138"/>
      <c r="S15" s="138"/>
      <c r="U15" s="138"/>
      <c r="V15" s="138"/>
      <c r="W15" s="138"/>
      <c r="X15" s="138"/>
    </row>
    <row r="16">
      <c r="A16" s="135"/>
      <c r="B16" s="135"/>
      <c r="C16" s="135"/>
      <c r="D16" s="135"/>
      <c r="F16" s="135"/>
      <c r="G16" s="135"/>
      <c r="H16" s="135"/>
      <c r="I16" s="135"/>
      <c r="K16" s="135"/>
      <c r="L16" s="135"/>
      <c r="M16" s="135"/>
      <c r="N16" s="135"/>
      <c r="P16" s="138"/>
      <c r="Q16" s="138"/>
      <c r="R16" s="138"/>
      <c r="S16" s="138"/>
      <c r="U16" s="138"/>
      <c r="V16" s="138"/>
      <c r="W16" s="138"/>
      <c r="X16" s="138"/>
    </row>
    <row r="17">
      <c r="A17" s="135"/>
      <c r="B17" s="135"/>
      <c r="C17" s="135"/>
      <c r="D17" s="135"/>
      <c r="F17" s="135"/>
      <c r="G17" s="135"/>
      <c r="H17" s="135"/>
      <c r="I17" s="135"/>
      <c r="K17" s="135"/>
      <c r="L17" s="135"/>
      <c r="M17" s="135"/>
      <c r="N17" s="135"/>
      <c r="P17" s="138"/>
      <c r="Q17" s="138"/>
      <c r="R17" s="138"/>
      <c r="S17" s="138"/>
      <c r="U17" s="138"/>
      <c r="V17" s="138"/>
      <c r="W17" s="138"/>
      <c r="X17" s="138"/>
    </row>
    <row r="18">
      <c r="A18" s="135"/>
      <c r="B18" s="135"/>
      <c r="C18" s="135"/>
      <c r="D18" s="135"/>
      <c r="F18" s="135"/>
      <c r="G18" s="135"/>
      <c r="H18" s="135"/>
      <c r="I18" s="135"/>
      <c r="K18" s="135"/>
      <c r="L18" s="135"/>
      <c r="M18" s="135"/>
      <c r="N18" s="135"/>
      <c r="P18" s="138"/>
      <c r="Q18" s="138"/>
      <c r="R18" s="138"/>
      <c r="S18" s="138"/>
      <c r="U18" s="138"/>
      <c r="V18" s="138"/>
      <c r="W18" s="138"/>
      <c r="X18" s="138"/>
    </row>
    <row r="19">
      <c r="A19" s="135"/>
      <c r="B19" s="135"/>
      <c r="C19" s="135"/>
      <c r="D19" s="135"/>
      <c r="F19" s="135"/>
      <c r="G19" s="135"/>
      <c r="H19" s="135"/>
      <c r="I19" s="135"/>
      <c r="K19" s="135"/>
      <c r="L19" s="135"/>
      <c r="M19" s="135"/>
      <c r="N19" s="135"/>
      <c r="P19" s="138"/>
      <c r="Q19" s="138"/>
      <c r="R19" s="138"/>
      <c r="S19" s="138"/>
      <c r="U19" s="138"/>
      <c r="V19" s="138"/>
      <c r="W19" s="138"/>
      <c r="X19" s="138"/>
    </row>
    <row r="20">
      <c r="A20" s="135"/>
      <c r="B20" s="135"/>
      <c r="C20" s="135"/>
      <c r="D20" s="135"/>
      <c r="F20" s="135"/>
      <c r="G20" s="135"/>
      <c r="H20" s="135"/>
      <c r="I20" s="135"/>
      <c r="K20" s="135"/>
      <c r="L20" s="135"/>
      <c r="M20" s="135"/>
      <c r="N20" s="135"/>
      <c r="P20" s="138"/>
      <c r="Q20" s="138"/>
      <c r="R20" s="138"/>
      <c r="S20" s="138"/>
      <c r="U20" s="138"/>
      <c r="V20" s="138"/>
      <c r="W20" s="138"/>
      <c r="X20" s="138"/>
    </row>
    <row r="21">
      <c r="A21" s="135"/>
      <c r="B21" s="135"/>
      <c r="C21" s="135"/>
      <c r="D21" s="135"/>
      <c r="F21" s="135"/>
      <c r="G21" s="135"/>
      <c r="H21" s="135"/>
      <c r="I21" s="135"/>
      <c r="K21" s="135"/>
      <c r="L21" s="135"/>
      <c r="M21" s="135"/>
      <c r="N21" s="135"/>
      <c r="P21" s="138"/>
      <c r="Q21" s="138"/>
      <c r="R21" s="138"/>
      <c r="S21" s="138"/>
      <c r="U21" s="138"/>
      <c r="V21" s="138"/>
      <c r="W21" s="138"/>
      <c r="X21" s="138"/>
    </row>
    <row r="22">
      <c r="A22" s="135">
        <v>13.0</v>
      </c>
      <c r="B22" s="135" t="s">
        <v>131</v>
      </c>
      <c r="C22" s="135"/>
      <c r="D22" s="135"/>
      <c r="F22" s="135">
        <v>13.0</v>
      </c>
      <c r="G22" s="135" t="s">
        <v>132</v>
      </c>
      <c r="H22" s="135"/>
      <c r="I22" s="135"/>
      <c r="K22" s="135">
        <v>13.0</v>
      </c>
      <c r="L22" s="135" t="s">
        <v>133</v>
      </c>
      <c r="M22" s="135"/>
      <c r="N22" s="135"/>
      <c r="P22" s="138"/>
      <c r="Q22" s="138"/>
      <c r="R22" s="138"/>
      <c r="S22" s="138"/>
      <c r="U22" s="138"/>
      <c r="V22" s="138"/>
      <c r="W22" s="138"/>
      <c r="X22" s="138"/>
    </row>
    <row r="23">
      <c r="A23" s="135">
        <v>14.0</v>
      </c>
      <c r="B23" s="135" t="s">
        <v>131</v>
      </c>
      <c r="C23" s="135"/>
      <c r="D23" s="135"/>
      <c r="F23" s="135">
        <v>14.0</v>
      </c>
      <c r="G23" s="135" t="s">
        <v>132</v>
      </c>
      <c r="H23" s="135"/>
      <c r="I23" s="135"/>
      <c r="K23" s="135">
        <v>14.0</v>
      </c>
      <c r="L23" s="135" t="s">
        <v>133</v>
      </c>
      <c r="M23" s="135"/>
      <c r="N23" s="135"/>
      <c r="P23" s="138"/>
      <c r="Q23" s="138"/>
      <c r="R23" s="138"/>
      <c r="S23" s="138"/>
      <c r="U23" s="138"/>
      <c r="V23" s="138"/>
      <c r="W23" s="138"/>
      <c r="X23" s="138"/>
    </row>
    <row r="24">
      <c r="A24" s="135"/>
      <c r="B24" s="135"/>
      <c r="C24" s="135"/>
      <c r="D24" s="135"/>
      <c r="F24" s="135"/>
      <c r="G24" s="135"/>
      <c r="H24" s="135"/>
      <c r="I24" s="135"/>
      <c r="K24" s="135"/>
      <c r="L24" s="135"/>
      <c r="M24" s="135"/>
      <c r="N24" s="135"/>
      <c r="P24" s="138"/>
      <c r="Q24" s="138"/>
      <c r="R24" s="138"/>
      <c r="S24" s="138"/>
      <c r="U24" s="138"/>
      <c r="V24" s="138"/>
      <c r="W24" s="138"/>
      <c r="X24" s="138"/>
    </row>
    <row r="25">
      <c r="A25" s="135">
        <v>15.0</v>
      </c>
      <c r="B25" s="135" t="s">
        <v>131</v>
      </c>
      <c r="C25" s="135"/>
      <c r="D25" s="135"/>
      <c r="F25" s="135">
        <v>15.0</v>
      </c>
      <c r="G25" s="135" t="s">
        <v>132</v>
      </c>
      <c r="H25" s="135"/>
      <c r="I25" s="135"/>
      <c r="K25" s="135">
        <v>15.0</v>
      </c>
      <c r="L25" s="135" t="s">
        <v>133</v>
      </c>
      <c r="M25" s="135"/>
      <c r="N25" s="131"/>
      <c r="P25" s="138"/>
      <c r="Q25" s="138"/>
      <c r="R25" s="138"/>
      <c r="S25" s="138"/>
      <c r="U25" s="138"/>
      <c r="V25" s="138"/>
      <c r="W25" s="138"/>
      <c r="X25" s="138"/>
    </row>
    <row r="26">
      <c r="A26" s="197" t="s">
        <v>19</v>
      </c>
      <c r="B26" s="198"/>
      <c r="C26" s="199"/>
      <c r="D26" s="135">
        <f>SUM(D2:D25)</f>
        <v>0</v>
      </c>
      <c r="F26" s="197" t="s">
        <v>19</v>
      </c>
      <c r="G26" s="198"/>
      <c r="H26" s="199"/>
      <c r="I26" s="135">
        <f>SUM(I2:I25)</f>
        <v>0</v>
      </c>
      <c r="K26" s="197" t="s">
        <v>19</v>
      </c>
      <c r="L26" s="198"/>
      <c r="M26" s="199"/>
      <c r="N26" s="135">
        <f>SUM(N2:N25)</f>
        <v>0</v>
      </c>
      <c r="P26" s="200" t="s">
        <v>19</v>
      </c>
      <c r="Q26" s="198"/>
      <c r="R26" s="199"/>
      <c r="S26" s="138">
        <f>SUM(S2:S25)</f>
        <v>0</v>
      </c>
      <c r="U26" s="200" t="s">
        <v>19</v>
      </c>
      <c r="V26" s="198"/>
      <c r="W26" s="199"/>
      <c r="X26" s="138">
        <f>SUM(X2:X25)</f>
        <v>0</v>
      </c>
    </row>
  </sheetData>
  <mergeCells count="5">
    <mergeCell ref="A26:C26"/>
    <mergeCell ref="F26:H26"/>
    <mergeCell ref="K26:M26"/>
    <mergeCell ref="P26:R26"/>
    <mergeCell ref="U26:W26"/>
  </mergeCells>
  <drawing r:id="rId1"/>
</worksheet>
</file>